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6ebd79489a3a6a6/Dokumente/"/>
    </mc:Choice>
  </mc:AlternateContent>
  <xr:revisionPtr revIDLastSave="1366" documentId="13_ncr:1_{88C4677F-8431-47E7-8DD8-3F6BA150D02D}" xr6:coauthVersionLast="47" xr6:coauthVersionMax="47" xr10:uidLastSave="{6FDEA9D2-1A3C-4E03-B5DF-CF36DEBA92F1}"/>
  <bookViews>
    <workbookView xWindow="-110" yWindow="-110" windowWidth="19420" windowHeight="10300" xr2:uid="{00000000-000D-0000-FFFF-FFFF00000000}"/>
  </bookViews>
  <sheets>
    <sheet name="Fixkosten" sheetId="1" r:id="rId1"/>
    <sheet name="Juli 25" sheetId="4" r:id="rId2"/>
    <sheet name="August 25" sheetId="3" r:id="rId3"/>
    <sheet name="Sep 25" sheetId="2" r:id="rId4"/>
  </sheets>
  <definedNames>
    <definedName name="_xlnm._FilterDatabase" localSheetId="0" hidden="1">Fixkosten!$G$46:$K$46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" l="1"/>
  <c r="N3" i="1"/>
  <c r="H9" i="3"/>
  <c r="H8" i="3"/>
  <c r="H7" i="3"/>
  <c r="H6" i="3"/>
  <c r="H5" i="3"/>
  <c r="H4" i="3"/>
  <c r="H3" i="3"/>
  <c r="D3" i="3"/>
  <c r="H9" i="4"/>
  <c r="H8" i="4"/>
  <c r="H7" i="4"/>
  <c r="H6" i="4"/>
  <c r="H5" i="4"/>
  <c r="H4" i="4"/>
  <c r="H3" i="4"/>
  <c r="D28" i="1"/>
  <c r="J53" i="1"/>
  <c r="J56" i="1" s="1"/>
  <c r="J30" i="1"/>
  <c r="J17" i="1"/>
  <c r="J16" i="1"/>
  <c r="D52" i="1"/>
  <c r="D29" i="1"/>
  <c r="I42" i="1"/>
  <c r="N24" i="1"/>
  <c r="I9" i="1"/>
  <c r="N5" i="1" l="1"/>
  <c r="N4" i="1"/>
  <c r="J32" i="1"/>
  <c r="D31" i="1"/>
  <c r="J19" i="1"/>
  <c r="N6" i="1" l="1"/>
  <c r="D55" i="1"/>
</calcChain>
</file>

<file path=xl/sharedStrings.xml><?xml version="1.0" encoding="utf-8"?>
<sst xmlns="http://schemas.openxmlformats.org/spreadsheetml/2006/main" count="730" uniqueCount="157">
  <si>
    <t>Monatliche Fixkosten</t>
  </si>
  <si>
    <t xml:space="preserve">Haben </t>
  </si>
  <si>
    <t>Freizeit &amp; Sport</t>
  </si>
  <si>
    <t>Haus</t>
  </si>
  <si>
    <t>Einkommen</t>
  </si>
  <si>
    <t>Dienst</t>
  </si>
  <si>
    <t>Turnus</t>
  </si>
  <si>
    <t>Betrag</t>
  </si>
  <si>
    <t>Betrag monatlich</t>
  </si>
  <si>
    <t>Info</t>
  </si>
  <si>
    <t>Betrag Monatlich</t>
  </si>
  <si>
    <t>Ausgaben</t>
  </si>
  <si>
    <t>Amazon Prime</t>
  </si>
  <si>
    <t>Jahr/1.7.</t>
  </si>
  <si>
    <t>Bausparer</t>
  </si>
  <si>
    <t>Monat/1.</t>
  </si>
  <si>
    <t>pausiert</t>
  </si>
  <si>
    <t>Wegsparen</t>
  </si>
  <si>
    <t>Internet</t>
  </si>
  <si>
    <t>Monat/21.</t>
  </si>
  <si>
    <t>Müll</t>
  </si>
  <si>
    <t>Quartal/1.</t>
  </si>
  <si>
    <t>Haben</t>
  </si>
  <si>
    <t>Strom</t>
  </si>
  <si>
    <t>Spotify</t>
  </si>
  <si>
    <t>Wasser</t>
  </si>
  <si>
    <t xml:space="preserve">Monat/21. </t>
  </si>
  <si>
    <t>Entega</t>
  </si>
  <si>
    <t>Chris O2</t>
  </si>
  <si>
    <t>Monat/5.</t>
  </si>
  <si>
    <t>GEZ</t>
  </si>
  <si>
    <t>Quartal/15.</t>
  </si>
  <si>
    <t>15.1./15.4./15.7./15.10. - 52,50€</t>
  </si>
  <si>
    <t>Art</t>
  </si>
  <si>
    <t>Mona O2</t>
  </si>
  <si>
    <t>Monat/28.</t>
  </si>
  <si>
    <t>Grundsteuer</t>
  </si>
  <si>
    <t>Mona</t>
  </si>
  <si>
    <t>Monat</t>
  </si>
  <si>
    <t>Mona Brillen Abo</t>
  </si>
  <si>
    <t>BrillenAbo - Optik Abele</t>
  </si>
  <si>
    <t>Kredit Haus</t>
  </si>
  <si>
    <t>Chris</t>
  </si>
  <si>
    <t>Office</t>
  </si>
  <si>
    <t>Jahr/7.1.</t>
  </si>
  <si>
    <t>Office 365 // Josef gibt 50€ pro Jahr // Florian gibt. 33€ Jahr</t>
  </si>
  <si>
    <t>Kredit Modernisierung</t>
  </si>
  <si>
    <t>Josef</t>
  </si>
  <si>
    <t>Podimo</t>
  </si>
  <si>
    <t>Strom LWP</t>
  </si>
  <si>
    <t>Kindergeld</t>
  </si>
  <si>
    <t>Abwasser</t>
  </si>
  <si>
    <t>Monat/15.</t>
  </si>
  <si>
    <t>Johanniter</t>
  </si>
  <si>
    <t>Jahr/1.2.</t>
  </si>
  <si>
    <t>Monatlicher Betrag</t>
  </si>
  <si>
    <t>Wegsparen im Monat</t>
  </si>
  <si>
    <t>Für Jährliche/Quartalszahlungen</t>
  </si>
  <si>
    <t>Darlehen</t>
  </si>
  <si>
    <t>Cookidoo Thermomix</t>
  </si>
  <si>
    <t>Fenster &amp; Tür</t>
  </si>
  <si>
    <t>Gesamt</t>
  </si>
  <si>
    <t>Wärmepumpe</t>
  </si>
  <si>
    <t>Elektroniker</t>
  </si>
  <si>
    <t>Heizung</t>
  </si>
  <si>
    <t>Hund</t>
  </si>
  <si>
    <t>PV-Anlage</t>
  </si>
  <si>
    <t>Krankenversicherung</t>
  </si>
  <si>
    <t>Jahr/1.8.</t>
  </si>
  <si>
    <t>Restbetrag</t>
  </si>
  <si>
    <t>Haftpflicht</t>
  </si>
  <si>
    <t>Essen / Leckerlis</t>
  </si>
  <si>
    <t>Quartal</t>
  </si>
  <si>
    <t>Steuer</t>
  </si>
  <si>
    <t>Jahr</t>
  </si>
  <si>
    <t>Versicherungen</t>
  </si>
  <si>
    <t>Variable Kosten</t>
  </si>
  <si>
    <t>Spalte1</t>
  </si>
  <si>
    <t>Hausrat</t>
  </si>
  <si>
    <t>Einkauf</t>
  </si>
  <si>
    <t>Wohngebäude</t>
  </si>
  <si>
    <t>Tanken</t>
  </si>
  <si>
    <t>Privathaftpflicht</t>
  </si>
  <si>
    <t>Chris RLV</t>
  </si>
  <si>
    <t>Mona BU</t>
  </si>
  <si>
    <t>Mona RLV</t>
  </si>
  <si>
    <t>KFZ Versicherung</t>
  </si>
  <si>
    <t>Jahr/5.7.</t>
  </si>
  <si>
    <t>KFZ-Steuer</t>
  </si>
  <si>
    <t>Malte</t>
  </si>
  <si>
    <t>ACE (Pannendienst)</t>
  </si>
  <si>
    <t>Jahr/2.1</t>
  </si>
  <si>
    <t>Steuervorausszahlung</t>
  </si>
  <si>
    <t>Quartal/10.</t>
  </si>
  <si>
    <t>KiTa Nordheim</t>
  </si>
  <si>
    <t>Chris Rente</t>
  </si>
  <si>
    <t>Allianz Privatrente - AL-6220975386</t>
  </si>
  <si>
    <t>Windeln</t>
  </si>
  <si>
    <t>Rechtsschutz</t>
  </si>
  <si>
    <t>Jahr/3.10.</t>
  </si>
  <si>
    <t>Ansparen</t>
  </si>
  <si>
    <t>15.2./15.5./15.8./15.11. - 83,02</t>
  </si>
  <si>
    <t>TG Biblis</t>
  </si>
  <si>
    <t>Jahr/1.3.</t>
  </si>
  <si>
    <t>Jahr/9.9</t>
  </si>
  <si>
    <t>AXA Mona</t>
  </si>
  <si>
    <t>MAX Energy</t>
  </si>
  <si>
    <t>AS-6211355502</t>
  </si>
  <si>
    <t xml:space="preserve">AS-6226343055 </t>
  </si>
  <si>
    <t xml:space="preserve">AS-6211355337 </t>
  </si>
  <si>
    <t>AS-6211370453</t>
  </si>
  <si>
    <t>AS-6212847268</t>
  </si>
  <si>
    <t>AS-9459034482</t>
  </si>
  <si>
    <t>Zahnzusatz Family</t>
  </si>
  <si>
    <t>AK-6237936743</t>
  </si>
  <si>
    <t>AL-9496782483</t>
  </si>
  <si>
    <t>DL-9467663865</t>
  </si>
  <si>
    <t>Schwimmen</t>
  </si>
  <si>
    <t>AppleTV</t>
  </si>
  <si>
    <t>WOW</t>
  </si>
  <si>
    <t>AL-1334425037</t>
  </si>
  <si>
    <t>AS-6227644137</t>
  </si>
  <si>
    <t>Girocard Mona</t>
  </si>
  <si>
    <t>Girocard Chris</t>
  </si>
  <si>
    <t>Telekom</t>
  </si>
  <si>
    <t>Chris Handy</t>
  </si>
  <si>
    <t>1Password</t>
  </si>
  <si>
    <t>DL-9467661829</t>
  </si>
  <si>
    <t>Delfish</t>
  </si>
  <si>
    <t>Pampers &amp; Ninjamas</t>
  </si>
  <si>
    <t>Datum</t>
  </si>
  <si>
    <t>Kanal</t>
  </si>
  <si>
    <t>Visa</t>
  </si>
  <si>
    <t>Bargeld</t>
  </si>
  <si>
    <t>PayPal</t>
  </si>
  <si>
    <t>Essen</t>
  </si>
  <si>
    <t>Steam</t>
  </si>
  <si>
    <t>Amazon</t>
  </si>
  <si>
    <t>Zeug</t>
  </si>
  <si>
    <t>Google</t>
  </si>
  <si>
    <t>Klarna</t>
  </si>
  <si>
    <t>Übersicht</t>
  </si>
  <si>
    <t>Blizzard</t>
  </si>
  <si>
    <t>Mona Handy + Uhr</t>
  </si>
  <si>
    <t>Monat/19.</t>
  </si>
  <si>
    <t>bis 19.11.2027</t>
  </si>
  <si>
    <t>1.3./1.5./1.8./1.11. - 120€</t>
  </si>
  <si>
    <t>Pflegegeld</t>
  </si>
  <si>
    <t>Grafikkarte</t>
  </si>
  <si>
    <t>Bis 29.03.2027  / PayPal</t>
  </si>
  <si>
    <t>Bis 24.11.2026 - im Oktober 2026 Kündbar  10,99 Tarif, 4.99€ Multisim</t>
  </si>
  <si>
    <t>letzte Rate: 18.11.2027</t>
  </si>
  <si>
    <t>Jederzeit kündbar</t>
  </si>
  <si>
    <t>Apple iCloud</t>
  </si>
  <si>
    <t>Für Speicher + Emails</t>
  </si>
  <si>
    <t>Montana Energie</t>
  </si>
  <si>
    <t>AppleCare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</si>
</sst>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2" xfId="0" applyNumberFormat="1" applyBorder="1"/>
    <xf numFmtId="0" fontId="0" fillId="0" borderId="3" xfId="0" applyBorder="1"/>
    <xf numFmtId="164" fontId="0" fillId="0" borderId="4" xfId="0" applyNumberFormat="1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164" fontId="0" fillId="0" borderId="6" xfId="0" applyNumberFormat="1" applyBorder="1"/>
    <xf numFmtId="164" fontId="1" fillId="0" borderId="7" xfId="0" applyNumberFormat="1" applyFont="1" applyBorder="1"/>
    <xf numFmtId="164" fontId="0" fillId="0" borderId="7" xfId="0" applyNumberFormat="1" applyBorder="1"/>
    <xf numFmtId="164" fontId="1" fillId="0" borderId="6" xfId="0" applyNumberFormat="1" applyFont="1" applyBorder="1"/>
    <xf numFmtId="0" fontId="1" fillId="0" borderId="8" xfId="0" applyFont="1" applyBorder="1"/>
    <xf numFmtId="164" fontId="1" fillId="0" borderId="8" xfId="0" applyNumberFormat="1" applyFont="1" applyBorder="1"/>
    <xf numFmtId="0" fontId="0" fillId="0" borderId="10" xfId="0" applyBorder="1"/>
    <xf numFmtId="164" fontId="0" fillId="0" borderId="10" xfId="0" applyNumberFormat="1" applyBorder="1"/>
    <xf numFmtId="0" fontId="1" fillId="0" borderId="9" xfId="0" applyFont="1" applyBorder="1"/>
    <xf numFmtId="0" fontId="0" fillId="0" borderId="11" xfId="0" applyBorder="1"/>
    <xf numFmtId="164" fontId="0" fillId="0" borderId="11" xfId="0" applyNumberFormat="1" applyBorder="1"/>
    <xf numFmtId="0" fontId="2" fillId="0" borderId="8" xfId="0" applyFont="1" applyBorder="1"/>
    <xf numFmtId="164" fontId="2" fillId="0" borderId="8" xfId="0" applyNumberFormat="1" applyFont="1" applyBorder="1"/>
    <xf numFmtId="0" fontId="0" fillId="0" borderId="12" xfId="0" applyBorder="1"/>
    <xf numFmtId="164" fontId="0" fillId="0" borderId="13" xfId="0" applyNumberFormat="1" applyBorder="1"/>
    <xf numFmtId="0" fontId="1" fillId="0" borderId="14" xfId="0" applyFont="1" applyBorder="1"/>
    <xf numFmtId="0" fontId="1" fillId="0" borderId="10" xfId="0" applyFont="1" applyBorder="1"/>
    <xf numFmtId="0" fontId="1" fillId="0" borderId="15" xfId="0" applyFont="1" applyBorder="1"/>
    <xf numFmtId="0" fontId="0" fillId="0" borderId="16" xfId="0" applyBorder="1"/>
    <xf numFmtId="164" fontId="0" fillId="0" borderId="17" xfId="0" applyNumberFormat="1" applyBorder="1"/>
    <xf numFmtId="164" fontId="0" fillId="0" borderId="18" xfId="0" applyNumberFormat="1" applyBorder="1"/>
    <xf numFmtId="0" fontId="5" fillId="3" borderId="14" xfId="0" applyFont="1" applyFill="1" applyBorder="1"/>
    <xf numFmtId="0" fontId="5" fillId="3" borderId="10" xfId="0" applyFont="1" applyFill="1" applyBorder="1"/>
    <xf numFmtId="0" fontId="5" fillId="3" borderId="15" xfId="0" applyFont="1" applyFill="1" applyBorder="1"/>
    <xf numFmtId="164" fontId="0" fillId="0" borderId="8" xfId="0" applyNumberFormat="1" applyBorder="1"/>
    <xf numFmtId="0" fontId="0" fillId="0" borderId="8" xfId="0" applyBorder="1"/>
    <xf numFmtId="0" fontId="1" fillId="0" borderId="0" xfId="0" applyFont="1"/>
    <xf numFmtId="14" fontId="0" fillId="0" borderId="0" xfId="0" applyNumberFormat="1"/>
    <xf numFmtId="0" fontId="5" fillId="4" borderId="20" xfId="0" applyFont="1" applyFill="1" applyBorder="1"/>
    <xf numFmtId="0" fontId="5" fillId="4" borderId="21" xfId="0" applyFont="1" applyFill="1" applyBorder="1"/>
    <xf numFmtId="0" fontId="5" fillId="4" borderId="22" xfId="0" applyFont="1" applyFill="1" applyBorder="1"/>
    <xf numFmtId="164" fontId="0" fillId="5" borderId="19" xfId="0" applyNumberFormat="1" applyFill="1" applyBorder="1"/>
    <xf numFmtId="0" fontId="1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71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#,##0.00\ &quot;€&quot;"/>
    </dxf>
    <dxf>
      <numFmt numFmtId="19" formatCode="dd/mm/yyyy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#,##0.00\ &quot;€&quot;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#,##0.00\ &quot;€&quot;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164" formatCode="#,##0.00\ &quot;€&quot;"/>
    </dxf>
    <dxf>
      <numFmt numFmtId="164" formatCode="#,##0.00\ &quot;€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'Juli 25'!$H$2</c:f>
              <c:strCache>
                <c:ptCount val="1"/>
                <c:pt idx="0">
                  <c:v>Betrag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B0-4BA2-B20A-409A3582FD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B0-4BA2-B20A-409A3582FD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B0-4BA2-B20A-409A3582FD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B0-4BA2-B20A-409A3582FD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B0-4BA2-B20A-409A3582FD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B0-4BA2-B20A-409A3582FD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DB0-4BA2-B20A-409A3582FD26}"/>
              </c:ext>
            </c:extLst>
          </c:dPt>
          <c:cat>
            <c:strRef>
              <c:f>'Juli 25'!$G$3:$G$9</c:f>
              <c:strCache>
                <c:ptCount val="7"/>
                <c:pt idx="0">
                  <c:v>Bargeld</c:v>
                </c:pt>
                <c:pt idx="1">
                  <c:v>Essen</c:v>
                </c:pt>
                <c:pt idx="2">
                  <c:v>Einkauf</c:v>
                </c:pt>
                <c:pt idx="3">
                  <c:v>Zeug</c:v>
                </c:pt>
                <c:pt idx="4">
                  <c:v>Steam</c:v>
                </c:pt>
                <c:pt idx="5">
                  <c:v>Google</c:v>
                </c:pt>
                <c:pt idx="6">
                  <c:v>Tanken</c:v>
                </c:pt>
              </c:strCache>
            </c:strRef>
          </c:cat>
          <c:val>
            <c:numRef>
              <c:f>'Juli 25'!$H$3:$H$9</c:f>
              <c:numCache>
                <c:formatCode>#,##0.00\ "€"</c:formatCode>
                <c:ptCount val="7"/>
                <c:pt idx="0">
                  <c:v>214.5</c:v>
                </c:pt>
                <c:pt idx="1">
                  <c:v>374.77</c:v>
                </c:pt>
                <c:pt idx="2">
                  <c:v>815.73000000000025</c:v>
                </c:pt>
                <c:pt idx="3">
                  <c:v>4073.9800000000005</c:v>
                </c:pt>
                <c:pt idx="4">
                  <c:v>94.25</c:v>
                </c:pt>
                <c:pt idx="5">
                  <c:v>89.259999999999962</c:v>
                </c:pt>
                <c:pt idx="6">
                  <c:v>311.06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7-4DFA-ADEF-64BE363D3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'August 25'!$H$2</c:f>
              <c:strCache>
                <c:ptCount val="1"/>
                <c:pt idx="0">
                  <c:v>Betrag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0E-4952-90E3-F96AA93F9B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0E-4952-90E3-F96AA93F9B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0E-4952-90E3-F96AA93F9B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0E-4952-90E3-F96AA93F9B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0E-4952-90E3-F96AA93F9B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90E-4952-90E3-F96AA93F9B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90E-4952-90E3-F96AA93F9B04}"/>
              </c:ext>
            </c:extLst>
          </c:dPt>
          <c:cat>
            <c:strRef>
              <c:f>'August 25'!$G$3:$G$9</c:f>
              <c:strCache>
                <c:ptCount val="7"/>
                <c:pt idx="0">
                  <c:v>Bargeld</c:v>
                </c:pt>
                <c:pt idx="1">
                  <c:v>Blizzard</c:v>
                </c:pt>
                <c:pt idx="2">
                  <c:v>Einkauf</c:v>
                </c:pt>
                <c:pt idx="3">
                  <c:v>Essen</c:v>
                </c:pt>
                <c:pt idx="4">
                  <c:v>Zeug</c:v>
                </c:pt>
                <c:pt idx="5">
                  <c:v>Google</c:v>
                </c:pt>
                <c:pt idx="6">
                  <c:v>Tanken</c:v>
                </c:pt>
              </c:strCache>
            </c:strRef>
          </c:cat>
          <c:val>
            <c:numRef>
              <c:f>'August 25'!$H$3:$H$9</c:f>
              <c:numCache>
                <c:formatCode>#,##0.00\ "€"</c:formatCode>
                <c:ptCount val="7"/>
                <c:pt idx="0">
                  <c:v>155</c:v>
                </c:pt>
                <c:pt idx="1">
                  <c:v>12.99</c:v>
                </c:pt>
                <c:pt idx="2">
                  <c:v>751.00999999999976</c:v>
                </c:pt>
                <c:pt idx="3">
                  <c:v>205.79000000000002</c:v>
                </c:pt>
                <c:pt idx="4">
                  <c:v>1103.67</c:v>
                </c:pt>
                <c:pt idx="5">
                  <c:v>46.41</c:v>
                </c:pt>
                <c:pt idx="6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2-4BBF-A29E-758A15E13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195262</xdr:colOff>
      <xdr:row>10</xdr:row>
      <xdr:rowOff>119062</xdr:rowOff>
    </xdr:from>
    <xdr:to>
      <xdr:col>15</xdr:col>
      <xdr:colOff>500062</xdr:colOff>
      <xdr:row>25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D4A679-3AEE-4B02-9F6D-C70AD0AE2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338137</xdr:colOff>
      <xdr:row>10</xdr:row>
      <xdr:rowOff>119062</xdr:rowOff>
    </xdr:from>
    <xdr:to>
      <xdr:col>16</xdr:col>
      <xdr:colOff>185737</xdr:colOff>
      <xdr:row>25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05CFA1-6B25-C42F-1164-522C748DC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A51C39-DEAF-FD45-8838-8F22081F601D}" name="Tabelle2" displayName="Tabelle2" ref="A4:E25" totalsRowShown="0" headerRowDxfId="70" headerRowBorderDxfId="69" tableBorderDxfId="68">
  <autoFilter ref="A4:E25" xr:uid="{A4A51C39-DEAF-FD45-8838-8F22081F601D}"/>
  <tableColumns count="5">
    <tableColumn id="1" xr3:uid="{DA883F46-2F74-324E-881E-044E9AFC083D}" name="Dienst" dataDxfId="67"/>
    <tableColumn id="2" xr3:uid="{3CC20486-8E05-8F47-9DE0-8544490D5023}" name="Turnus" dataDxfId="66"/>
    <tableColumn id="3" xr3:uid="{66F516F1-A2AD-874D-8FF8-31CFB5FE0E95}" name="Betrag" dataDxfId="65"/>
    <tableColumn id="4" xr3:uid="{69492FB7-94F1-4A4B-8F03-141F5B093B8D}" name="Betrag monatlich" dataDxfId="64"/>
    <tableColumn id="5" xr3:uid="{72DA57CF-9EBF-064E-8BBC-83FC136EA8D4}" name="Info" dataDxfId="63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F05011-B2CC-AA40-9D27-4DED79CC1C3F}" name="Tabelle24" displayName="Tabelle24" ref="G4:K14" totalsRowShown="0" headerRowDxfId="62" headerRowBorderDxfId="61" tableBorderDxfId="60">
  <autoFilter ref="G4:K14" xr:uid="{AFF05011-B2CC-AA40-9D27-4DED79CC1C3F}"/>
  <tableColumns count="5">
    <tableColumn id="1" xr3:uid="{796757C6-CF2A-C946-B768-A8A275A90D15}" name="Dienst" dataDxfId="59"/>
    <tableColumn id="2" xr3:uid="{351013B5-6909-0A4A-A8C5-2AD74A934739}" name="Turnus" dataDxfId="58"/>
    <tableColumn id="3" xr3:uid="{F8E62E42-BC08-A04D-AE48-1E5868F884DD}" name="Betrag" dataDxfId="57"/>
    <tableColumn id="4" xr3:uid="{2E4F9914-5A05-A047-90AD-B0BA307F5E38}" name="Betrag Monatlich" dataDxfId="56"/>
    <tableColumn id="5" xr3:uid="{6BBED798-0059-194F-BBFE-A62D9B03AF9F}" name="Info" dataDxfId="55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2053F5-CD68-824A-B9BC-626BF78555B5}" name="Tabelle245" displayName="Tabelle245" ref="A35:E50" totalsRowShown="0" headerRowBorderDxfId="54" tableBorderDxfId="53">
  <autoFilter ref="A35:E50" xr:uid="{172053F5-CD68-824A-B9BC-626BF78555B5}"/>
  <tableColumns count="5">
    <tableColumn id="1" xr3:uid="{E4068816-5C4A-5048-802A-CA2C5A4C8BE9}" name="Dienst" dataDxfId="52"/>
    <tableColumn id="2" xr3:uid="{527BDC7D-9A7E-F740-A92A-09878B29E197}" name="Turnus" dataDxfId="51"/>
    <tableColumn id="3" xr3:uid="{FDCAF132-746A-7243-BDD7-5610E2CE4CFF}" name="Betrag" dataDxfId="50"/>
    <tableColumn id="4" xr3:uid="{EA08185E-434E-3A45-9B8F-C990097A9987}" name="Betrag Monatlich" dataDxfId="49"/>
    <tableColumn id="5" xr3:uid="{7FCED914-BB35-214C-8EC7-6538468FD328}" name="Info" dataDxfId="48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966BB4-0137-6C4B-A805-0D2636EF624B}" name="Tabelle26" displayName="Tabelle26" ref="G23:K27" totalsRowShown="0" headerRowDxfId="47" headerRowBorderDxfId="46" tableBorderDxfId="45">
  <autoFilter ref="G23:K27" xr:uid="{30966BB4-0137-6C4B-A805-0D2636EF624B}"/>
  <tableColumns count="5">
    <tableColumn id="1" xr3:uid="{D6ADCF3E-0004-1343-A74F-A42C857D8926}" name="Dienst" dataDxfId="44"/>
    <tableColumn id="2" xr3:uid="{B1645555-045C-FD48-ADAA-7972128B9B5F}" name="Turnus" dataDxfId="43"/>
    <tableColumn id="3" xr3:uid="{9AA4BDEF-A0C0-6146-8583-21E077987F2D}" name="Betrag" dataDxfId="42"/>
    <tableColumn id="4" xr3:uid="{04F31A50-EF4E-2942-ABE8-53F75189DEE4}" name="Betrag Monatlich" dataDxfId="41"/>
    <tableColumn id="5" xr3:uid="{BB78ED84-9877-3643-A4A6-69562F346F0A}" name="Info" dataDxfId="40"/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D1C6E4-8412-3C4A-9E7E-8DD3E0B3D892}" name="Tabelle6" displayName="Tabelle6" ref="M9:P15" totalsRowShown="0" headerRowDxfId="39" headerRowBorderDxfId="38" tableBorderDxfId="37" totalsRowBorderDxfId="36">
  <autoFilter ref="M9:P15" xr:uid="{14D1C6E4-8412-3C4A-9E7E-8DD3E0B3D892}"/>
  <tableColumns count="4">
    <tableColumn id="1" xr3:uid="{5F5B9F12-662B-6542-9C01-A22AF369E7AA}" name="Art" dataDxfId="35"/>
    <tableColumn id="2" xr3:uid="{BE9E989A-43FD-D045-AB82-249166458452}" name="Turnus" dataDxfId="34"/>
    <tableColumn id="3" xr3:uid="{E936E824-A206-EC49-A0C5-AFF273BC1BA4}" name="Betrag" dataDxfId="33"/>
    <tableColumn id="4" xr3:uid="{850584EF-D9CF-48CC-BA2C-6B096728BFC7}" name="Info" dataDxfId="32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D51A2F-13B8-4A59-8FDB-40DEE8EEDD53}" name="Tabelle262" displayName="Tabelle262" ref="G36:K40" totalsRowShown="0" headerRowDxfId="31" headerRowBorderDxfId="30" tableBorderDxfId="29">
  <autoFilter ref="G36:K40" xr:uid="{0FD51A2F-13B8-4A59-8FDB-40DEE8EEDD53}"/>
  <tableColumns count="5">
    <tableColumn id="1" xr3:uid="{2F615118-23E1-4A93-A7A0-B7193FBAB467}" name="Dienst" dataDxfId="28"/>
    <tableColumn id="2" xr3:uid="{E37D04BD-9552-4C35-89AE-E1A76D60329F}" name="Turnus" dataDxfId="27"/>
    <tableColumn id="3" xr3:uid="{9C6BC3A6-8A7F-4262-B3BB-C0F08FEA74F5}" name="Betrag" dataDxfId="26"/>
    <tableColumn id="4" xr3:uid="{434C2C4C-10D8-4EEB-B6C1-6AE935C0FDE3}" name="Info" dataDxfId="25"/>
    <tableColumn id="5" xr3:uid="{A3BAA407-05BF-45D6-AB6E-78D3D85B1B5D}" name="Spalte1" dataDxfId="24"/>
  </tableColumns>
  <tableStyleInfo name="TableStyleMedium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123616-A783-437B-B831-616E9BC6C3BE}" name="Tabelle7" displayName="Tabelle7" ref="G46:K50" totalsRowShown="0" headerRowDxfId="23" headerRowBorderDxfId="22" tableBorderDxfId="21" totalsRowBorderDxfId="20">
  <autoFilter ref="G46:K50" xr:uid="{AD123616-A783-437B-B831-616E9BC6C3BE}"/>
  <tableColumns count="5">
    <tableColumn id="1" xr3:uid="{5722D8BD-6667-4932-A9C6-3B29E9E5E383}" name="Dienst" dataDxfId="19"/>
    <tableColumn id="2" xr3:uid="{A41020D2-CA3F-43FF-AD19-2F759D435329}" name="Turnus" dataDxfId="18"/>
    <tableColumn id="3" xr3:uid="{12391B6D-BE59-4235-AB48-200149601374}" name="Betrag" dataDxfId="17"/>
    <tableColumn id="4" xr3:uid="{09D71535-A561-4334-A2DF-7897A2F8E585}" name="Betrag monatlich" dataDxfId="16"/>
    <tableColumn id="5" xr3:uid="{87393FC5-DED5-45D7-8B56-B16716F25C7C}" name="Info" dataDxfId="15"/>
  </tableColumns>
  <tableStyleInfo name="TableStyleMedium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D8DBB2-22D2-4741-A5E3-2BCA2AFF9E07}" name="Table8" displayName="Table8" ref="A1:D142" totalsRowShown="0" headerRowDxfId="14">
  <autoFilter ref="A1:D142" xr:uid="{25D8DBB2-22D2-4741-A5E3-2BCA2AFF9E07}"/>
  <sortState xmlns:xlrd2="http://schemas.microsoft.com/office/spreadsheetml/2017/richdata2" ref="A2:D142">
    <sortCondition ref="B1:B142"/>
  </sortState>
  <tableColumns count="4">
    <tableColumn id="1" xr3:uid="{DD9107FC-0F4E-413B-BB81-E2CA81C502FF}" name="Datum" dataDxfId="13"/>
    <tableColumn id="2" xr3:uid="{89A22108-F027-406D-9113-4AA74260661A}" name="Kanal"/>
    <tableColumn id="3" xr3:uid="{DD3DD0AE-B8D8-4BB1-8872-FD0B9F826FAB}" name="Art"/>
    <tableColumn id="4" xr3:uid="{EC9AE577-F15C-46C6-B8B4-C7F2AD4A8A34}" name="Betrag" dataDxfId="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097486-3C95-4800-863F-638207AEE766}" name="Table9" displayName="Table9" ref="G2:H9" totalsRowShown="0" headerRowDxfId="11" headerRowBorderDxfId="10" tableBorderDxfId="9">
  <autoFilter ref="G2:H9" xr:uid="{9E097486-3C95-4800-863F-638207AEE766}"/>
  <tableColumns count="2">
    <tableColumn id="1" xr3:uid="{E7BE04E9-D3A8-44BD-871B-F95F823BA26F}" name="Art"/>
    <tableColumn id="2" xr3:uid="{1894D713-18CD-4D0C-8A95-18FC677BB565}" name="Betrag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218FA9A-5F18-4222-A496-0A3CF45ADB5A}" name="Table10" displayName="Table10" ref="A1:D95" totalsRowShown="0" headerRowDxfId="7" headerRowBorderDxfId="6" tableBorderDxfId="5">
  <autoFilter ref="A1:D95" xr:uid="{F218FA9A-5F18-4222-A496-0A3CF45ADB5A}"/>
  <tableColumns count="4">
    <tableColumn id="1" xr3:uid="{2F8966F0-5A58-444C-837B-C75AD584F530}" name="Datum" dataDxfId="4"/>
    <tableColumn id="2" xr3:uid="{EB649EF0-1DE1-438D-A999-616240537BD9}" name="Kanal"/>
    <tableColumn id="3" xr3:uid="{D52A5D7F-0966-4F74-BDCD-4BC067ADF5C3}" name="Art"/>
    <tableColumn id="4" xr3:uid="{5675916F-540A-424A-9611-D13CA1002698}" name="Betrag" dataDxfId="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92FEC2-C94F-4636-89A2-F365857B14B4}" name="Table11" displayName="Table11" ref="G2:H9" totalsRowShown="0" headerRowDxfId="2" headerRowBorderDxfId="1" tableBorderDxfId="0">
  <autoFilter ref="G2:H9" xr:uid="{9B92FEC2-C94F-4636-89A2-F365857B14B4}"/>
  <tableColumns count="2">
    <tableColumn id="1" xr3:uid="{7EFA75A7-77AC-438E-9019-3501449FD8AB}" name="Art"/>
    <tableColumn id="2" xr3:uid="{30F8975D-584D-473B-BEE8-3D221ACCAB70}" name="Betr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tabSelected="1" topLeftCell="A2" zoomScale="85" zoomScaleNormal="85" workbookViewId="0">
      <selection activeCell="P5" sqref="P5"/>
    </sheetView>
  </sheetViews>
  <sheetFormatPr defaultColWidth="8.81640625" defaultRowHeight="14.5" x14ac:dyDescent="0.35"/>
  <cols>
    <col min="1" max="1" width="22.453125" bestFit="1" customWidth="1"/>
    <col min="2" max="2" width="11.453125" bestFit="1" customWidth="1"/>
    <col min="3" max="3" width="10.453125" bestFit="1" customWidth="1"/>
    <col min="4" max="4" width="18.54296875" bestFit="1" customWidth="1"/>
    <col min="5" max="5" width="64.7265625" bestFit="1" customWidth="1"/>
    <col min="7" max="7" width="21.453125" bestFit="1" customWidth="1"/>
    <col min="8" max="8" width="11.1796875" bestFit="1" customWidth="1"/>
    <col min="9" max="9" width="10.26953125" bestFit="1" customWidth="1"/>
    <col min="10" max="10" width="18.54296875" bestFit="1" customWidth="1"/>
    <col min="11" max="11" width="30.26953125" bestFit="1" customWidth="1"/>
    <col min="12" max="12" width="10.1796875" customWidth="1"/>
    <col min="13" max="13" width="13.81640625" bestFit="1" customWidth="1"/>
    <col min="14" max="14" width="11.453125" bestFit="1" customWidth="1"/>
    <col min="15" max="15" width="9.7265625" bestFit="1" customWidth="1"/>
    <col min="16" max="16" width="22.26953125" customWidth="1"/>
    <col min="17" max="17" width="26.453125" customWidth="1"/>
    <col min="19" max="19" width="18.26953125" bestFit="1" customWidth="1"/>
    <col min="21" max="21" width="9.453125" customWidth="1"/>
    <col min="22" max="23" width="6" bestFit="1" customWidth="1"/>
  </cols>
  <sheetData>
    <row r="1" spans="1:16" ht="23.5" x14ac:dyDescent="0.55000000000000004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6" ht="15" thickBot="1" x14ac:dyDescent="0.4">
      <c r="M2" s="41" t="s">
        <v>1</v>
      </c>
      <c r="N2" s="41"/>
      <c r="O2" s="35"/>
    </row>
    <row r="3" spans="1:16" ht="18.5" x14ac:dyDescent="0.45">
      <c r="A3" s="43" t="s">
        <v>2</v>
      </c>
      <c r="B3" s="43"/>
      <c r="C3" s="43"/>
      <c r="D3" s="43"/>
      <c r="E3" s="43"/>
      <c r="G3" s="43" t="s">
        <v>3</v>
      </c>
      <c r="H3" s="43"/>
      <c r="I3" s="43"/>
      <c r="J3" s="43"/>
      <c r="K3" s="43"/>
      <c r="M3" s="2" t="s">
        <v>4</v>
      </c>
      <c r="N3" s="3">
        <f>SUM(O10:O15)</f>
        <v>7887.0599999999995</v>
      </c>
      <c r="O3" s="1"/>
      <c r="P3" s="1"/>
    </row>
    <row r="4" spans="1:16" ht="15" thickBot="1" x14ac:dyDescent="0.4">
      <c r="A4" s="17" t="s">
        <v>5</v>
      </c>
      <c r="B4" s="17" t="s">
        <v>6</v>
      </c>
      <c r="C4" s="17" t="s">
        <v>7</v>
      </c>
      <c r="D4" s="17" t="s">
        <v>8</v>
      </c>
      <c r="E4" s="17" t="s">
        <v>9</v>
      </c>
      <c r="G4" s="17" t="s">
        <v>5</v>
      </c>
      <c r="H4" s="17" t="s">
        <v>6</v>
      </c>
      <c r="I4" s="17" t="s">
        <v>7</v>
      </c>
      <c r="J4" s="17" t="s">
        <v>10</v>
      </c>
      <c r="K4" s="17" t="s">
        <v>9</v>
      </c>
      <c r="M4" s="4" t="s">
        <v>11</v>
      </c>
      <c r="N4" s="5">
        <f>SUM(D28,D52,J16,J29,I42,J53)</f>
        <v>4581</v>
      </c>
      <c r="O4" s="1"/>
      <c r="P4" s="1"/>
    </row>
    <row r="5" spans="1:16" ht="15" thickBot="1" x14ac:dyDescent="0.4">
      <c r="A5" s="15" t="s">
        <v>12</v>
      </c>
      <c r="B5" s="15" t="s">
        <v>13</v>
      </c>
      <c r="C5" s="16">
        <v>90</v>
      </c>
      <c r="D5" s="16">
        <v>8</v>
      </c>
      <c r="E5" s="15"/>
      <c r="G5" s="8" t="s">
        <v>14</v>
      </c>
      <c r="H5" s="8" t="s">
        <v>15</v>
      </c>
      <c r="I5" s="9">
        <v>100</v>
      </c>
      <c r="J5" s="9">
        <v>0</v>
      </c>
      <c r="K5" s="8" t="s">
        <v>16</v>
      </c>
      <c r="M5" s="4" t="s">
        <v>17</v>
      </c>
      <c r="N5" s="11">
        <f>SUM(D29,D53,J17,J30,J54)</f>
        <v>1059</v>
      </c>
      <c r="O5" s="1"/>
      <c r="P5" s="1"/>
    </row>
    <row r="6" spans="1:16" ht="15" thickBot="1" x14ac:dyDescent="0.4">
      <c r="A6" s="8" t="s">
        <v>18</v>
      </c>
      <c r="B6" s="8" t="s">
        <v>19</v>
      </c>
      <c r="C6" s="9">
        <v>86.95</v>
      </c>
      <c r="D6" s="9">
        <v>87</v>
      </c>
      <c r="E6" s="8" t="s">
        <v>124</v>
      </c>
      <c r="G6" s="18" t="s">
        <v>20</v>
      </c>
      <c r="H6" s="18" t="s">
        <v>21</v>
      </c>
      <c r="I6" s="19">
        <v>463</v>
      </c>
      <c r="J6" s="19">
        <v>120</v>
      </c>
      <c r="K6" s="18" t="s">
        <v>146</v>
      </c>
      <c r="M6" s="6" t="s">
        <v>22</v>
      </c>
      <c r="N6" s="10">
        <f>N3-N4-N5</f>
        <v>2247.0599999999995</v>
      </c>
      <c r="O6" s="1"/>
      <c r="P6" s="1"/>
    </row>
    <row r="7" spans="1:16" x14ac:dyDescent="0.35">
      <c r="A7" s="18" t="s">
        <v>24</v>
      </c>
      <c r="B7" s="18" t="s">
        <v>19</v>
      </c>
      <c r="C7" s="19">
        <v>21.99</v>
      </c>
      <c r="D7" s="19">
        <v>22</v>
      </c>
      <c r="E7" s="18"/>
      <c r="G7" s="18" t="s">
        <v>23</v>
      </c>
      <c r="H7" s="18" t="s">
        <v>52</v>
      </c>
      <c r="I7" s="19">
        <v>49</v>
      </c>
      <c r="J7" s="19">
        <v>49</v>
      </c>
      <c r="K7" s="18" t="s">
        <v>106</v>
      </c>
    </row>
    <row r="8" spans="1:16" x14ac:dyDescent="0.35">
      <c r="A8" s="8" t="s">
        <v>28</v>
      </c>
      <c r="B8" s="8" t="s">
        <v>29</v>
      </c>
      <c r="C8" s="9">
        <v>15.95</v>
      </c>
      <c r="D8" s="9">
        <v>16</v>
      </c>
      <c r="E8" s="8" t="s">
        <v>150</v>
      </c>
      <c r="G8" s="18" t="s">
        <v>25</v>
      </c>
      <c r="H8" s="18" t="s">
        <v>26</v>
      </c>
      <c r="I8" s="19">
        <v>17</v>
      </c>
      <c r="J8" s="19">
        <v>17</v>
      </c>
      <c r="K8" s="18" t="s">
        <v>27</v>
      </c>
    </row>
    <row r="9" spans="1:16" x14ac:dyDescent="0.35">
      <c r="A9" s="18" t="s">
        <v>34</v>
      </c>
      <c r="B9" s="18" t="s">
        <v>35</v>
      </c>
      <c r="C9" s="19">
        <v>9</v>
      </c>
      <c r="D9" s="19">
        <v>9</v>
      </c>
      <c r="E9" s="18" t="s">
        <v>152</v>
      </c>
      <c r="G9" s="18" t="s">
        <v>30</v>
      </c>
      <c r="H9" s="18" t="s">
        <v>31</v>
      </c>
      <c r="I9" s="19">
        <f>52.5*4</f>
        <v>210</v>
      </c>
      <c r="J9" s="19">
        <v>18</v>
      </c>
      <c r="K9" s="18" t="s">
        <v>32</v>
      </c>
      <c r="M9" s="24" t="s">
        <v>33</v>
      </c>
      <c r="N9" s="25" t="s">
        <v>6</v>
      </c>
      <c r="O9" s="26" t="s">
        <v>7</v>
      </c>
      <c r="P9" s="25" t="s">
        <v>9</v>
      </c>
    </row>
    <row r="10" spans="1:16" x14ac:dyDescent="0.35">
      <c r="A10" s="18" t="s">
        <v>39</v>
      </c>
      <c r="B10" s="18" t="s">
        <v>15</v>
      </c>
      <c r="C10" s="19">
        <v>40</v>
      </c>
      <c r="D10" s="19">
        <v>40</v>
      </c>
      <c r="E10" s="18" t="s">
        <v>40</v>
      </c>
      <c r="G10" s="18" t="s">
        <v>36</v>
      </c>
      <c r="H10" s="18" t="s">
        <v>31</v>
      </c>
      <c r="I10" s="19">
        <v>333</v>
      </c>
      <c r="J10" s="19">
        <v>28</v>
      </c>
      <c r="K10" s="18" t="s">
        <v>101</v>
      </c>
      <c r="M10" s="27" t="s">
        <v>37</v>
      </c>
      <c r="N10" s="18" t="s">
        <v>38</v>
      </c>
      <c r="O10" s="28">
        <v>2949.56</v>
      </c>
      <c r="P10" s="23"/>
    </row>
    <row r="11" spans="1:16" x14ac:dyDescent="0.35">
      <c r="A11" s="18" t="s">
        <v>43</v>
      </c>
      <c r="B11" s="18" t="s">
        <v>44</v>
      </c>
      <c r="C11" s="19">
        <v>99</v>
      </c>
      <c r="D11" s="19">
        <v>9</v>
      </c>
      <c r="E11" s="18" t="s">
        <v>45</v>
      </c>
      <c r="G11" s="8" t="s">
        <v>41</v>
      </c>
      <c r="H11" s="8" t="s">
        <v>15</v>
      </c>
      <c r="I11" s="9">
        <v>1235</v>
      </c>
      <c r="J11" s="9">
        <v>1235</v>
      </c>
      <c r="K11" s="8"/>
      <c r="M11" s="22" t="s">
        <v>42</v>
      </c>
      <c r="N11" s="8" t="s">
        <v>38</v>
      </c>
      <c r="O11" s="23">
        <v>3965</v>
      </c>
      <c r="P11" s="23"/>
    </row>
    <row r="12" spans="1:16" x14ac:dyDescent="0.35">
      <c r="A12" s="8" t="s">
        <v>48</v>
      </c>
      <c r="B12" s="8" t="s">
        <v>15</v>
      </c>
      <c r="C12" s="9">
        <v>5</v>
      </c>
      <c r="D12" s="9">
        <v>5</v>
      </c>
      <c r="E12" s="8"/>
      <c r="G12" s="18" t="s">
        <v>46</v>
      </c>
      <c r="H12" s="18" t="s">
        <v>15</v>
      </c>
      <c r="I12" s="19">
        <v>495</v>
      </c>
      <c r="J12" s="19">
        <v>495</v>
      </c>
      <c r="K12" s="18"/>
      <c r="M12" s="22" t="s">
        <v>47</v>
      </c>
      <c r="N12" s="8" t="s">
        <v>38</v>
      </c>
      <c r="O12" s="23">
        <v>114.5</v>
      </c>
      <c r="P12" s="23"/>
    </row>
    <row r="13" spans="1:16" x14ac:dyDescent="0.35">
      <c r="A13" s="18" t="s">
        <v>143</v>
      </c>
      <c r="B13" s="18" t="s">
        <v>144</v>
      </c>
      <c r="C13" s="19">
        <v>33</v>
      </c>
      <c r="D13" s="19">
        <v>33</v>
      </c>
      <c r="E13" s="18" t="s">
        <v>145</v>
      </c>
      <c r="G13" s="18" t="s">
        <v>49</v>
      </c>
      <c r="H13" s="18" t="s">
        <v>19</v>
      </c>
      <c r="I13" s="19">
        <v>82</v>
      </c>
      <c r="J13" s="19">
        <v>82</v>
      </c>
      <c r="K13" s="18" t="s">
        <v>155</v>
      </c>
      <c r="M13" s="27" t="s">
        <v>50</v>
      </c>
      <c r="N13" s="18" t="s">
        <v>38</v>
      </c>
      <c r="O13" s="28">
        <v>259</v>
      </c>
      <c r="P13" s="23"/>
    </row>
    <row r="14" spans="1:16" x14ac:dyDescent="0.35">
      <c r="A14" s="8" t="s">
        <v>53</v>
      </c>
      <c r="B14" s="8" t="s">
        <v>54</v>
      </c>
      <c r="C14" s="9">
        <v>50</v>
      </c>
      <c r="D14" s="9">
        <v>5</v>
      </c>
      <c r="E14" s="18"/>
      <c r="G14" s="18" t="s">
        <v>51</v>
      </c>
      <c r="H14" s="18" t="s">
        <v>52</v>
      </c>
      <c r="I14" s="19">
        <v>32</v>
      </c>
      <c r="J14" s="19">
        <v>32</v>
      </c>
      <c r="K14" s="18"/>
      <c r="M14" s="22" t="s">
        <v>147</v>
      </c>
      <c r="N14" s="8" t="s">
        <v>38</v>
      </c>
      <c r="O14" s="9">
        <v>599</v>
      </c>
      <c r="P14" s="29"/>
    </row>
    <row r="15" spans="1:16" x14ac:dyDescent="0.35">
      <c r="A15" s="8" t="s">
        <v>102</v>
      </c>
      <c r="B15" s="8" t="s">
        <v>103</v>
      </c>
      <c r="C15" s="9">
        <v>60</v>
      </c>
      <c r="D15" s="9">
        <v>5</v>
      </c>
      <c r="E15" s="8"/>
      <c r="M15" s="27"/>
      <c r="N15" s="18"/>
      <c r="O15" s="9"/>
      <c r="P15" s="1"/>
    </row>
    <row r="16" spans="1:16" x14ac:dyDescent="0.35">
      <c r="A16" s="8" t="s">
        <v>59</v>
      </c>
      <c r="B16" s="8" t="s">
        <v>104</v>
      </c>
      <c r="C16" s="9">
        <v>48</v>
      </c>
      <c r="D16" s="9">
        <v>4</v>
      </c>
      <c r="E16" s="8"/>
      <c r="G16" t="s">
        <v>55</v>
      </c>
      <c r="I16" s="1"/>
      <c r="J16" s="1">
        <f>SUM(J7,J8,J11,J12,J13,J14)</f>
        <v>1910</v>
      </c>
      <c r="K16" s="1"/>
      <c r="L16" s="1"/>
      <c r="N16" s="1"/>
    </row>
    <row r="17" spans="1:16" x14ac:dyDescent="0.35">
      <c r="A17" s="8" t="s">
        <v>118</v>
      </c>
      <c r="B17" s="8" t="s">
        <v>38</v>
      </c>
      <c r="C17" s="9">
        <v>10</v>
      </c>
      <c r="D17" s="9">
        <v>10</v>
      </c>
      <c r="E17" s="8"/>
      <c r="G17" t="s">
        <v>56</v>
      </c>
      <c r="I17" s="1"/>
      <c r="J17" s="1">
        <f>SUM(J6,J9,J10)</f>
        <v>166</v>
      </c>
      <c r="K17" t="s">
        <v>57</v>
      </c>
      <c r="M17" s="7" t="s">
        <v>58</v>
      </c>
      <c r="N17" s="12">
        <v>49500</v>
      </c>
    </row>
    <row r="18" spans="1:16" ht="16.5" customHeight="1" x14ac:dyDescent="0.35">
      <c r="A18" s="18" t="s">
        <v>119</v>
      </c>
      <c r="B18" s="18" t="s">
        <v>38</v>
      </c>
      <c r="C18" s="19">
        <v>6</v>
      </c>
      <c r="D18" s="19">
        <v>6</v>
      </c>
      <c r="E18" s="18"/>
      <c r="M18" s="8" t="s">
        <v>60</v>
      </c>
      <c r="N18" s="9">
        <v>20566.53</v>
      </c>
    </row>
    <row r="19" spans="1:16" ht="15.75" customHeight="1" thickBot="1" x14ac:dyDescent="0.4">
      <c r="A19" s="8" t="s">
        <v>148</v>
      </c>
      <c r="B19" s="8" t="s">
        <v>38</v>
      </c>
      <c r="C19" s="9">
        <v>55.75</v>
      </c>
      <c r="D19" s="9">
        <v>56</v>
      </c>
      <c r="E19" s="8" t="s">
        <v>149</v>
      </c>
      <c r="G19" s="20" t="s">
        <v>61</v>
      </c>
      <c r="H19" s="20"/>
      <c r="I19" s="21"/>
      <c r="J19" s="21">
        <f>SUM(J16:J17)</f>
        <v>2076</v>
      </c>
      <c r="K19" s="21"/>
      <c r="M19" s="8" t="s">
        <v>62</v>
      </c>
      <c r="N19" s="9">
        <v>29994.45</v>
      </c>
    </row>
    <row r="20" spans="1:16" ht="15" thickTop="1" x14ac:dyDescent="0.35">
      <c r="A20" s="8" t="s">
        <v>153</v>
      </c>
      <c r="B20" s="8" t="s">
        <v>38</v>
      </c>
      <c r="C20" s="9">
        <v>0.99</v>
      </c>
      <c r="D20" s="9">
        <v>1</v>
      </c>
      <c r="E20" s="8" t="s">
        <v>154</v>
      </c>
      <c r="M20" s="8" t="s">
        <v>63</v>
      </c>
      <c r="N20" s="9">
        <v>1660</v>
      </c>
    </row>
    <row r="21" spans="1:16" x14ac:dyDescent="0.35">
      <c r="A21" s="18" t="s">
        <v>122</v>
      </c>
      <c r="B21" s="18" t="s">
        <v>15</v>
      </c>
      <c r="C21" s="19">
        <v>1.5</v>
      </c>
      <c r="D21" s="19">
        <v>1.5</v>
      </c>
      <c r="E21" s="18"/>
      <c r="M21" s="8" t="s">
        <v>64</v>
      </c>
      <c r="N21" s="9">
        <v>5800</v>
      </c>
    </row>
    <row r="22" spans="1:16" ht="18.5" x14ac:dyDescent="0.45">
      <c r="A22" s="8" t="s">
        <v>123</v>
      </c>
      <c r="B22" s="8" t="s">
        <v>15</v>
      </c>
      <c r="C22" s="9">
        <v>1.5</v>
      </c>
      <c r="D22" s="9">
        <v>1.5</v>
      </c>
      <c r="E22" s="8"/>
      <c r="G22" s="43" t="s">
        <v>65</v>
      </c>
      <c r="H22" s="43"/>
      <c r="I22" s="43"/>
      <c r="J22" s="43"/>
      <c r="K22" s="43"/>
      <c r="M22" s="8" t="s">
        <v>66</v>
      </c>
      <c r="N22" s="9">
        <v>16100</v>
      </c>
    </row>
    <row r="23" spans="1:16" ht="15" thickBot="1" x14ac:dyDescent="0.4">
      <c r="A23" s="8" t="s">
        <v>156</v>
      </c>
      <c r="B23" s="8" t="s">
        <v>38</v>
      </c>
      <c r="C23" s="9">
        <v>4.99</v>
      </c>
      <c r="D23" s="9">
        <v>5</v>
      </c>
      <c r="E23" s="8" t="s">
        <v>152</v>
      </c>
      <c r="G23" s="17" t="s">
        <v>5</v>
      </c>
      <c r="H23" s="17" t="s">
        <v>6</v>
      </c>
      <c r="I23" s="17" t="s">
        <v>7</v>
      </c>
      <c r="J23" s="17" t="s">
        <v>10</v>
      </c>
      <c r="K23" s="17" t="s">
        <v>9</v>
      </c>
      <c r="N23" s="1"/>
    </row>
    <row r="24" spans="1:16" ht="15" thickBot="1" x14ac:dyDescent="0.4">
      <c r="A24" s="8" t="s">
        <v>125</v>
      </c>
      <c r="B24" s="8" t="s">
        <v>38</v>
      </c>
      <c r="C24" s="9">
        <v>34</v>
      </c>
      <c r="D24" s="9">
        <v>34</v>
      </c>
      <c r="E24" s="8" t="s">
        <v>151</v>
      </c>
      <c r="G24" s="8" t="s">
        <v>67</v>
      </c>
      <c r="H24" s="8" t="s">
        <v>68</v>
      </c>
      <c r="I24" s="9">
        <v>715</v>
      </c>
      <c r="J24" s="9">
        <v>60</v>
      </c>
      <c r="K24" s="9" t="s">
        <v>111</v>
      </c>
      <c r="M24" s="13" t="s">
        <v>69</v>
      </c>
      <c r="N24" s="14">
        <f>N17-N18-N19-N20-N21-N22</f>
        <v>-24620.98</v>
      </c>
    </row>
    <row r="25" spans="1:16" ht="15" thickTop="1" x14ac:dyDescent="0.35">
      <c r="A25" s="18" t="s">
        <v>126</v>
      </c>
      <c r="B25" s="18" t="s">
        <v>74</v>
      </c>
      <c r="C25" s="19">
        <v>62</v>
      </c>
      <c r="D25" s="19">
        <v>6</v>
      </c>
      <c r="E25" s="18"/>
      <c r="G25" s="8" t="s">
        <v>70</v>
      </c>
      <c r="H25" s="8" t="s">
        <v>68</v>
      </c>
      <c r="I25" s="9">
        <v>82</v>
      </c>
      <c r="J25" s="9">
        <v>7</v>
      </c>
      <c r="K25" s="9" t="s">
        <v>109</v>
      </c>
      <c r="P25" s="1"/>
    </row>
    <row r="26" spans="1:16" x14ac:dyDescent="0.35">
      <c r="A26" s="18"/>
      <c r="B26" s="18"/>
      <c r="C26" s="19"/>
      <c r="D26" s="19"/>
      <c r="E26" s="18"/>
      <c r="G26" s="8" t="s">
        <v>71</v>
      </c>
      <c r="H26" s="8" t="s">
        <v>72</v>
      </c>
      <c r="I26" s="9">
        <v>360</v>
      </c>
      <c r="J26" s="9">
        <v>90</v>
      </c>
      <c r="K26" s="9"/>
    </row>
    <row r="27" spans="1:16" x14ac:dyDescent="0.35">
      <c r="G27" s="8" t="s">
        <v>73</v>
      </c>
      <c r="H27" s="8" t="s">
        <v>74</v>
      </c>
      <c r="I27" s="9">
        <v>70</v>
      </c>
      <c r="J27" s="9">
        <v>6</v>
      </c>
      <c r="K27" s="9"/>
      <c r="M27" s="1"/>
    </row>
    <row r="28" spans="1:16" x14ac:dyDescent="0.35">
      <c r="A28" t="s">
        <v>55</v>
      </c>
      <c r="C28" s="1"/>
      <c r="D28" s="1">
        <f>SUM(D6,D7,D8,D9,D10,D12,D13,D17,D18,D19,D20,D21,D22,D23,D24,D25)</f>
        <v>333</v>
      </c>
      <c r="E28" s="1"/>
    </row>
    <row r="29" spans="1:16" x14ac:dyDescent="0.35">
      <c r="A29" t="s">
        <v>56</v>
      </c>
      <c r="C29" s="1"/>
      <c r="D29" s="1">
        <f>SUM(D5,D11,D14,D15,D16)</f>
        <v>31</v>
      </c>
      <c r="E29" t="s">
        <v>57</v>
      </c>
      <c r="G29" t="s">
        <v>55</v>
      </c>
      <c r="I29" s="1"/>
      <c r="J29" s="1">
        <v>0</v>
      </c>
      <c r="K29" s="1"/>
    </row>
    <row r="30" spans="1:16" x14ac:dyDescent="0.35">
      <c r="G30" t="s">
        <v>56</v>
      </c>
      <c r="I30" s="1"/>
      <c r="J30" s="1">
        <f>SUM(J24,J25,J26,J27)</f>
        <v>163</v>
      </c>
      <c r="K30" t="s">
        <v>57</v>
      </c>
    </row>
    <row r="31" spans="1:16" ht="16" thickBot="1" x14ac:dyDescent="0.4">
      <c r="A31" s="20" t="s">
        <v>61</v>
      </c>
      <c r="B31" s="20"/>
      <c r="C31" s="21"/>
      <c r="D31" s="21">
        <f>SUM(D28:D29)</f>
        <v>364</v>
      </c>
      <c r="E31" s="21"/>
    </row>
    <row r="32" spans="1:16" ht="16.5" thickTop="1" thickBot="1" x14ac:dyDescent="0.4">
      <c r="G32" s="20" t="s">
        <v>61</v>
      </c>
      <c r="H32" s="20"/>
      <c r="I32" s="21"/>
      <c r="J32" s="21">
        <f>SUM(J29:J30)</f>
        <v>163</v>
      </c>
      <c r="K32" s="21"/>
    </row>
    <row r="33" spans="1:17" ht="15" thickTop="1" x14ac:dyDescent="0.35"/>
    <row r="34" spans="1:17" ht="18.5" x14ac:dyDescent="0.45">
      <c r="A34" s="43" t="s">
        <v>75</v>
      </c>
      <c r="B34" s="43"/>
      <c r="C34" s="43"/>
      <c r="D34" s="43"/>
      <c r="E34" s="43"/>
    </row>
    <row r="35" spans="1:17" ht="19" thickBot="1" x14ac:dyDescent="0.5">
      <c r="A35" s="17" t="s">
        <v>5</v>
      </c>
      <c r="B35" s="17" t="s">
        <v>6</v>
      </c>
      <c r="C35" s="17" t="s">
        <v>7</v>
      </c>
      <c r="D35" s="17" t="s">
        <v>10</v>
      </c>
      <c r="E35" s="17" t="s">
        <v>9</v>
      </c>
      <c r="G35" s="43" t="s">
        <v>76</v>
      </c>
      <c r="H35" s="43"/>
      <c r="I35" s="43"/>
      <c r="J35" s="43"/>
      <c r="K35" s="43"/>
      <c r="Q35" s="1"/>
    </row>
    <row r="36" spans="1:17" ht="15" thickBot="1" x14ac:dyDescent="0.4">
      <c r="A36" s="8" t="s">
        <v>78</v>
      </c>
      <c r="B36" s="8" t="s">
        <v>68</v>
      </c>
      <c r="C36" s="9">
        <v>564</v>
      </c>
      <c r="D36" s="9">
        <v>47</v>
      </c>
      <c r="E36" s="8" t="s">
        <v>110</v>
      </c>
      <c r="G36" s="17" t="s">
        <v>5</v>
      </c>
      <c r="H36" s="17" t="s">
        <v>6</v>
      </c>
      <c r="I36" s="17" t="s">
        <v>7</v>
      </c>
      <c r="J36" s="17" t="s">
        <v>9</v>
      </c>
      <c r="K36" s="17" t="s">
        <v>77</v>
      </c>
    </row>
    <row r="37" spans="1:17" x14ac:dyDescent="0.35">
      <c r="A37" s="8" t="s">
        <v>80</v>
      </c>
      <c r="B37" s="8" t="s">
        <v>68</v>
      </c>
      <c r="C37" s="9">
        <v>1393</v>
      </c>
      <c r="D37" s="9">
        <v>117</v>
      </c>
      <c r="E37" s="8" t="s">
        <v>108</v>
      </c>
      <c r="G37" s="8" t="s">
        <v>79</v>
      </c>
      <c r="H37" s="8" t="s">
        <v>38</v>
      </c>
      <c r="I37" s="9">
        <v>800</v>
      </c>
      <c r="J37" s="8"/>
      <c r="K37" s="15"/>
    </row>
    <row r="38" spans="1:17" x14ac:dyDescent="0.35">
      <c r="A38" s="8" t="s">
        <v>82</v>
      </c>
      <c r="B38" s="8" t="s">
        <v>68</v>
      </c>
      <c r="C38" s="9">
        <v>101</v>
      </c>
      <c r="D38" s="9">
        <v>9</v>
      </c>
      <c r="E38" s="18" t="s">
        <v>107</v>
      </c>
      <c r="G38" s="8" t="s">
        <v>81</v>
      </c>
      <c r="H38" s="8" t="s">
        <v>38</v>
      </c>
      <c r="I38" s="9">
        <v>450</v>
      </c>
      <c r="J38" s="8"/>
      <c r="K38" s="8"/>
    </row>
    <row r="39" spans="1:17" x14ac:dyDescent="0.35">
      <c r="A39" s="8" t="s">
        <v>83</v>
      </c>
      <c r="B39" s="8" t="s">
        <v>15</v>
      </c>
      <c r="C39" s="9">
        <v>26</v>
      </c>
      <c r="D39" s="9">
        <v>26</v>
      </c>
      <c r="E39" s="8" t="s">
        <v>116</v>
      </c>
      <c r="G39" s="8"/>
      <c r="H39" s="8"/>
      <c r="I39" s="9"/>
      <c r="J39" s="8"/>
      <c r="K39" s="8"/>
    </row>
    <row r="40" spans="1:17" x14ac:dyDescent="0.35">
      <c r="A40" s="8" t="s">
        <v>84</v>
      </c>
      <c r="B40" s="8" t="s">
        <v>15</v>
      </c>
      <c r="C40" s="9">
        <v>202</v>
      </c>
      <c r="D40" s="9">
        <v>202</v>
      </c>
      <c r="E40" s="8" t="s">
        <v>120</v>
      </c>
      <c r="G40" s="8"/>
      <c r="H40" s="8"/>
      <c r="I40" s="9"/>
      <c r="J40" s="8"/>
      <c r="K40" s="18"/>
    </row>
    <row r="41" spans="1:17" x14ac:dyDescent="0.35">
      <c r="A41" s="8" t="s">
        <v>85</v>
      </c>
      <c r="B41" s="8" t="s">
        <v>15</v>
      </c>
      <c r="C41" s="9">
        <v>11</v>
      </c>
      <c r="D41" s="9">
        <v>11</v>
      </c>
      <c r="E41" s="8" t="s">
        <v>127</v>
      </c>
    </row>
    <row r="42" spans="1:17" ht="15" thickBot="1" x14ac:dyDescent="0.4">
      <c r="A42" s="8" t="s">
        <v>86</v>
      </c>
      <c r="B42" s="8" t="s">
        <v>87</v>
      </c>
      <c r="C42" s="9">
        <v>752</v>
      </c>
      <c r="D42" s="9">
        <v>63</v>
      </c>
      <c r="E42" s="18" t="s">
        <v>112</v>
      </c>
      <c r="G42" s="13" t="s">
        <v>55</v>
      </c>
      <c r="H42" s="13"/>
      <c r="I42" s="14">
        <f>SUM(I37:I40)</f>
        <v>1250</v>
      </c>
      <c r="J42" s="33"/>
      <c r="K42" s="34"/>
    </row>
    <row r="43" spans="1:17" ht="15" thickTop="1" x14ac:dyDescent="0.35">
      <c r="A43" s="8" t="s">
        <v>88</v>
      </c>
      <c r="B43" s="8" t="s">
        <v>13</v>
      </c>
      <c r="C43" s="9">
        <v>88</v>
      </c>
      <c r="D43" s="9">
        <v>8</v>
      </c>
      <c r="E43" s="8"/>
    </row>
    <row r="44" spans="1:17" x14ac:dyDescent="0.35">
      <c r="A44" s="18" t="s">
        <v>90</v>
      </c>
      <c r="B44" s="18" t="s">
        <v>91</v>
      </c>
      <c r="C44" s="19">
        <v>69</v>
      </c>
      <c r="D44" s="19">
        <v>6</v>
      </c>
      <c r="E44" s="18"/>
      <c r="F44" s="1"/>
      <c r="L44" s="1"/>
    </row>
    <row r="45" spans="1:17" ht="18.5" x14ac:dyDescent="0.45">
      <c r="A45" s="18" t="s">
        <v>92</v>
      </c>
      <c r="B45" s="18" t="s">
        <v>93</v>
      </c>
      <c r="C45" s="19">
        <v>1250</v>
      </c>
      <c r="D45" s="19">
        <v>417</v>
      </c>
      <c r="E45" s="8"/>
      <c r="G45" s="43" t="s">
        <v>89</v>
      </c>
      <c r="H45" s="43"/>
      <c r="I45" s="43"/>
      <c r="J45" s="43"/>
      <c r="K45" s="43"/>
    </row>
    <row r="46" spans="1:17" x14ac:dyDescent="0.35">
      <c r="A46" s="18" t="s">
        <v>95</v>
      </c>
      <c r="B46" s="18" t="s">
        <v>15</v>
      </c>
      <c r="C46" s="19">
        <v>155</v>
      </c>
      <c r="D46" s="19">
        <v>155</v>
      </c>
      <c r="E46" s="18" t="s">
        <v>96</v>
      </c>
      <c r="G46" s="30" t="s">
        <v>5</v>
      </c>
      <c r="H46" s="31" t="s">
        <v>6</v>
      </c>
      <c r="I46" s="31" t="s">
        <v>7</v>
      </c>
      <c r="J46" s="31" t="s">
        <v>8</v>
      </c>
      <c r="K46" s="32" t="s">
        <v>9</v>
      </c>
    </row>
    <row r="47" spans="1:17" x14ac:dyDescent="0.35">
      <c r="A47" s="18" t="s">
        <v>98</v>
      </c>
      <c r="B47" s="18" t="s">
        <v>99</v>
      </c>
      <c r="C47" s="19">
        <v>378</v>
      </c>
      <c r="D47" s="19">
        <v>32</v>
      </c>
      <c r="E47" s="18" t="s">
        <v>121</v>
      </c>
      <c r="G47" s="8" t="s">
        <v>94</v>
      </c>
      <c r="H47" s="8" t="s">
        <v>52</v>
      </c>
      <c r="I47" s="9">
        <v>185</v>
      </c>
      <c r="J47" s="9">
        <v>185</v>
      </c>
      <c r="K47" s="8"/>
    </row>
    <row r="48" spans="1:17" x14ac:dyDescent="0.35">
      <c r="A48" s="18" t="s">
        <v>105</v>
      </c>
      <c r="B48" s="18" t="s">
        <v>15</v>
      </c>
      <c r="C48" s="19">
        <v>100</v>
      </c>
      <c r="D48" s="19">
        <v>100</v>
      </c>
      <c r="E48" s="18"/>
      <c r="G48" s="8" t="s">
        <v>97</v>
      </c>
      <c r="H48" s="8" t="s">
        <v>52</v>
      </c>
      <c r="I48" s="9">
        <v>90</v>
      </c>
      <c r="J48" s="9">
        <v>90</v>
      </c>
      <c r="K48" s="8" t="s">
        <v>129</v>
      </c>
    </row>
    <row r="49" spans="1:11" x14ac:dyDescent="0.35">
      <c r="A49" s="18" t="s">
        <v>113</v>
      </c>
      <c r="B49" s="18" t="s">
        <v>15</v>
      </c>
      <c r="C49" s="19">
        <v>62</v>
      </c>
      <c r="D49" s="19">
        <v>62</v>
      </c>
      <c r="E49" s="18" t="s">
        <v>114</v>
      </c>
      <c r="G49" s="9" t="s">
        <v>100</v>
      </c>
      <c r="H49" s="8" t="s">
        <v>15</v>
      </c>
      <c r="I49" s="9">
        <v>177</v>
      </c>
      <c r="J49" s="9">
        <v>177</v>
      </c>
      <c r="K49" s="8" t="s">
        <v>115</v>
      </c>
    </row>
    <row r="50" spans="1:11" x14ac:dyDescent="0.35">
      <c r="A50" s="8"/>
      <c r="B50" s="8"/>
      <c r="C50" s="9"/>
      <c r="D50" s="9"/>
      <c r="E50" s="18"/>
      <c r="G50" s="9" t="s">
        <v>117</v>
      </c>
      <c r="H50" s="8" t="s">
        <v>38</v>
      </c>
      <c r="I50" s="9">
        <v>80</v>
      </c>
      <c r="J50" s="9">
        <v>80</v>
      </c>
      <c r="K50" s="8" t="s">
        <v>128</v>
      </c>
    </row>
    <row r="51" spans="1:11" x14ac:dyDescent="0.35">
      <c r="I51" s="1"/>
      <c r="J51" s="1"/>
    </row>
    <row r="52" spans="1:11" x14ac:dyDescent="0.35">
      <c r="A52" t="s">
        <v>55</v>
      </c>
      <c r="C52" s="1"/>
      <c r="D52" s="1">
        <f>SUM(D39,D40,D41,D46,D48,D49)</f>
        <v>556</v>
      </c>
      <c r="E52" s="1"/>
    </row>
    <row r="53" spans="1:11" x14ac:dyDescent="0.35">
      <c r="A53" t="s">
        <v>56</v>
      </c>
      <c r="C53" s="1"/>
      <c r="D53" s="1">
        <f>SUM(D36,D37,D38,D42,D43,D44,D45,D47)</f>
        <v>699</v>
      </c>
      <c r="E53" t="s">
        <v>57</v>
      </c>
      <c r="G53" t="s">
        <v>55</v>
      </c>
      <c r="I53" s="1"/>
      <c r="J53" s="1">
        <f>SUM(J47,J48,J49,J50)</f>
        <v>532</v>
      </c>
      <c r="K53" s="1"/>
    </row>
    <row r="54" spans="1:11" x14ac:dyDescent="0.35">
      <c r="D54" s="1"/>
      <c r="G54" t="s">
        <v>56</v>
      </c>
      <c r="I54" s="1"/>
      <c r="J54" s="1">
        <v>0</v>
      </c>
      <c r="K54" t="s">
        <v>57</v>
      </c>
    </row>
    <row r="55" spans="1:11" ht="16" thickBot="1" x14ac:dyDescent="0.4">
      <c r="A55" s="20" t="s">
        <v>61</v>
      </c>
      <c r="B55" s="20"/>
      <c r="C55" s="21"/>
      <c r="D55" s="21">
        <f>SUM(D52:D53)</f>
        <v>1255</v>
      </c>
      <c r="E55" s="21"/>
    </row>
    <row r="56" spans="1:11" ht="16.5" thickTop="1" thickBot="1" x14ac:dyDescent="0.4">
      <c r="G56" s="20" t="s">
        <v>61</v>
      </c>
      <c r="H56" s="20"/>
      <c r="I56" s="21"/>
      <c r="J56" s="21">
        <f>SUM(J53:J54)</f>
        <v>532</v>
      </c>
      <c r="K56" s="21"/>
    </row>
    <row r="57" spans="1:11" ht="15" thickTop="1" x14ac:dyDescent="0.35"/>
  </sheetData>
  <mergeCells count="8">
    <mergeCell ref="M2:N2"/>
    <mergeCell ref="A1:K1"/>
    <mergeCell ref="G45:K45"/>
    <mergeCell ref="G3:K3"/>
    <mergeCell ref="A34:E34"/>
    <mergeCell ref="A3:E3"/>
    <mergeCell ref="G22:K22"/>
    <mergeCell ref="G35:K35"/>
  </mergeCell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0D7F-AFE1-4CA7-99F7-4C5FDA0E1203}">
  <dimension ref="A1:H145"/>
  <sheetViews>
    <sheetView workbookViewId="0">
      <selection activeCell="AD11" sqref="AD11"/>
    </sheetView>
  </sheetViews>
  <sheetFormatPr defaultColWidth="8.7265625" defaultRowHeight="14.5" x14ac:dyDescent="0.35"/>
  <cols>
    <col min="1" max="1" width="14.453125" customWidth="1"/>
    <col min="4" max="4" width="14.1796875" customWidth="1"/>
    <col min="8" max="8" width="9.54296875" bestFit="1" customWidth="1"/>
  </cols>
  <sheetData>
    <row r="1" spans="1:8" x14ac:dyDescent="0.35">
      <c r="A1" s="35" t="s">
        <v>130</v>
      </c>
      <c r="B1" s="35" t="s">
        <v>131</v>
      </c>
      <c r="C1" s="35" t="s">
        <v>33</v>
      </c>
      <c r="D1" s="35" t="s">
        <v>7</v>
      </c>
      <c r="G1" s="44" t="s">
        <v>141</v>
      </c>
      <c r="H1" s="44"/>
    </row>
    <row r="2" spans="1:8" x14ac:dyDescent="0.35">
      <c r="A2" s="36">
        <v>45840</v>
      </c>
      <c r="B2" t="s">
        <v>137</v>
      </c>
      <c r="C2" t="s">
        <v>138</v>
      </c>
      <c r="D2" s="1">
        <v>30.99</v>
      </c>
      <c r="G2" s="37" t="s">
        <v>33</v>
      </c>
      <c r="H2" s="38" t="s">
        <v>7</v>
      </c>
    </row>
    <row r="3" spans="1:8" x14ac:dyDescent="0.35">
      <c r="A3" s="36">
        <v>45841</v>
      </c>
      <c r="B3" t="s">
        <v>137</v>
      </c>
      <c r="C3" t="s">
        <v>138</v>
      </c>
      <c r="D3" s="1">
        <v>30.79</v>
      </c>
      <c r="G3" t="s">
        <v>133</v>
      </c>
      <c r="H3" s="1">
        <f>SUMIF(C:C,"Bargeld",D:D)</f>
        <v>214.5</v>
      </c>
    </row>
    <row r="4" spans="1:8" x14ac:dyDescent="0.35">
      <c r="A4" s="36">
        <v>45842</v>
      </c>
      <c r="B4" t="s">
        <v>137</v>
      </c>
      <c r="C4" t="s">
        <v>138</v>
      </c>
      <c r="D4" s="1">
        <v>18.989999999999998</v>
      </c>
      <c r="G4" t="s">
        <v>135</v>
      </c>
      <c r="H4" s="1">
        <f>SUMIF(C:C,"Essen",D:D)</f>
        <v>374.77</v>
      </c>
    </row>
    <row r="5" spans="1:8" x14ac:dyDescent="0.35">
      <c r="A5" s="36">
        <v>45842</v>
      </c>
      <c r="B5" t="s">
        <v>137</v>
      </c>
      <c r="C5" t="s">
        <v>138</v>
      </c>
      <c r="D5" s="1">
        <v>64.8</v>
      </c>
      <c r="G5" t="s">
        <v>79</v>
      </c>
      <c r="H5" s="1">
        <f>SUMIF(C:C,"Einkauf",D:D)</f>
        <v>815.73000000000025</v>
      </c>
    </row>
    <row r="6" spans="1:8" x14ac:dyDescent="0.35">
      <c r="A6" s="36">
        <v>45842</v>
      </c>
      <c r="B6" t="s">
        <v>137</v>
      </c>
      <c r="C6" t="s">
        <v>138</v>
      </c>
      <c r="D6" s="1">
        <v>49.88</v>
      </c>
      <c r="G6" t="s">
        <v>138</v>
      </c>
      <c r="H6" s="1">
        <f>SUMIF(C:C,"Zeug",D:D)</f>
        <v>4073.9800000000005</v>
      </c>
    </row>
    <row r="7" spans="1:8" x14ac:dyDescent="0.35">
      <c r="A7" s="36">
        <v>45846</v>
      </c>
      <c r="B7" t="s">
        <v>137</v>
      </c>
      <c r="C7" t="s">
        <v>138</v>
      </c>
      <c r="D7" s="1">
        <v>89.9</v>
      </c>
      <c r="G7" t="s">
        <v>136</v>
      </c>
      <c r="H7" s="1">
        <f>SUMIF(C:C,"Steam",D:D)</f>
        <v>94.25</v>
      </c>
    </row>
    <row r="8" spans="1:8" x14ac:dyDescent="0.35">
      <c r="A8" s="36">
        <v>45846</v>
      </c>
      <c r="B8" t="s">
        <v>137</v>
      </c>
      <c r="C8" t="s">
        <v>138</v>
      </c>
      <c r="D8" s="1">
        <v>38.99</v>
      </c>
      <c r="G8" t="s">
        <v>139</v>
      </c>
      <c r="H8" s="1">
        <f>SUMIF(C:C,"Google",D:D)</f>
        <v>89.259999999999962</v>
      </c>
    </row>
    <row r="9" spans="1:8" x14ac:dyDescent="0.35">
      <c r="A9" s="36">
        <v>45846</v>
      </c>
      <c r="B9" t="s">
        <v>137</v>
      </c>
      <c r="C9" t="s">
        <v>138</v>
      </c>
      <c r="D9" s="1">
        <v>18.98</v>
      </c>
      <c r="G9" t="s">
        <v>81</v>
      </c>
      <c r="H9" s="1">
        <f>SUMIF(C:C,"Tanken",D:D)</f>
        <v>311.06</v>
      </c>
    </row>
    <row r="10" spans="1:8" x14ac:dyDescent="0.35">
      <c r="A10" s="36">
        <v>45846</v>
      </c>
      <c r="B10" t="s">
        <v>137</v>
      </c>
      <c r="C10" t="s">
        <v>138</v>
      </c>
      <c r="D10" s="1">
        <v>37.99</v>
      </c>
    </row>
    <row r="11" spans="1:8" x14ac:dyDescent="0.35">
      <c r="A11" s="36">
        <v>45849</v>
      </c>
      <c r="B11" t="s">
        <v>137</v>
      </c>
      <c r="C11" t="s">
        <v>138</v>
      </c>
      <c r="D11" s="1">
        <v>37.99</v>
      </c>
      <c r="H11" s="1"/>
    </row>
    <row r="12" spans="1:8" x14ac:dyDescent="0.35">
      <c r="A12" s="36">
        <v>45849</v>
      </c>
      <c r="B12" t="s">
        <v>137</v>
      </c>
      <c r="C12" t="s">
        <v>138</v>
      </c>
      <c r="D12" s="1">
        <v>12.74</v>
      </c>
    </row>
    <row r="13" spans="1:8" x14ac:dyDescent="0.35">
      <c r="A13" s="36">
        <v>45849</v>
      </c>
      <c r="B13" t="s">
        <v>137</v>
      </c>
      <c r="C13" t="s">
        <v>138</v>
      </c>
      <c r="D13" s="1">
        <v>81.400000000000006</v>
      </c>
    </row>
    <row r="14" spans="1:8" x14ac:dyDescent="0.35">
      <c r="A14" s="36">
        <v>45849</v>
      </c>
      <c r="B14" t="s">
        <v>137</v>
      </c>
      <c r="C14" t="s">
        <v>138</v>
      </c>
      <c r="D14" s="1">
        <v>12.99</v>
      </c>
    </row>
    <row r="15" spans="1:8" x14ac:dyDescent="0.35">
      <c r="A15" s="36">
        <v>45849</v>
      </c>
      <c r="B15" t="s">
        <v>137</v>
      </c>
      <c r="C15" t="s">
        <v>138</v>
      </c>
      <c r="D15" s="1">
        <v>15.29</v>
      </c>
    </row>
    <row r="16" spans="1:8" x14ac:dyDescent="0.35">
      <c r="A16" s="36">
        <v>45852</v>
      </c>
      <c r="B16" t="s">
        <v>137</v>
      </c>
      <c r="C16" t="s">
        <v>138</v>
      </c>
      <c r="D16" s="1">
        <v>25.99</v>
      </c>
    </row>
    <row r="17" spans="1:4" x14ac:dyDescent="0.35">
      <c r="A17" s="36">
        <v>45852</v>
      </c>
      <c r="B17" t="s">
        <v>137</v>
      </c>
      <c r="C17" t="s">
        <v>138</v>
      </c>
      <c r="D17" s="1">
        <v>12.33</v>
      </c>
    </row>
    <row r="18" spans="1:4" x14ac:dyDescent="0.35">
      <c r="A18" s="36">
        <v>45852</v>
      </c>
      <c r="B18" t="s">
        <v>137</v>
      </c>
      <c r="C18" t="s">
        <v>138</v>
      </c>
      <c r="D18" s="1">
        <v>17.489999999999998</v>
      </c>
    </row>
    <row r="19" spans="1:4" x14ac:dyDescent="0.35">
      <c r="A19" s="36">
        <v>45852</v>
      </c>
      <c r="B19" t="s">
        <v>137</v>
      </c>
      <c r="C19" t="s">
        <v>138</v>
      </c>
      <c r="D19" s="1">
        <v>10.56</v>
      </c>
    </row>
    <row r="20" spans="1:4" x14ac:dyDescent="0.35">
      <c r="A20" s="36">
        <v>45853</v>
      </c>
      <c r="B20" t="s">
        <v>137</v>
      </c>
      <c r="C20" t="s">
        <v>138</v>
      </c>
      <c r="D20" s="1">
        <v>189.05</v>
      </c>
    </row>
    <row r="21" spans="1:4" x14ac:dyDescent="0.35">
      <c r="A21" s="36">
        <v>45853</v>
      </c>
      <c r="B21" t="s">
        <v>137</v>
      </c>
      <c r="C21" t="s">
        <v>138</v>
      </c>
      <c r="D21" s="1">
        <v>8.99</v>
      </c>
    </row>
    <row r="22" spans="1:4" x14ac:dyDescent="0.35">
      <c r="A22" s="36">
        <v>45853</v>
      </c>
      <c r="B22" t="s">
        <v>137</v>
      </c>
      <c r="C22" t="s">
        <v>138</v>
      </c>
      <c r="D22" s="1">
        <v>49.99</v>
      </c>
    </row>
    <row r="23" spans="1:4" x14ac:dyDescent="0.35">
      <c r="A23" s="36">
        <v>45853</v>
      </c>
      <c r="B23" t="s">
        <v>137</v>
      </c>
      <c r="C23" t="s">
        <v>138</v>
      </c>
      <c r="D23" s="1">
        <v>42.07</v>
      </c>
    </row>
    <row r="24" spans="1:4" x14ac:dyDescent="0.35">
      <c r="A24" s="36">
        <v>45853</v>
      </c>
      <c r="B24" t="s">
        <v>137</v>
      </c>
      <c r="C24" t="s">
        <v>138</v>
      </c>
      <c r="D24" s="1">
        <v>37.75</v>
      </c>
    </row>
    <row r="25" spans="1:4" x14ac:dyDescent="0.35">
      <c r="A25" s="36">
        <v>45854</v>
      </c>
      <c r="B25" t="s">
        <v>137</v>
      </c>
      <c r="C25" t="s">
        <v>138</v>
      </c>
      <c r="D25" s="1">
        <v>4.95</v>
      </c>
    </row>
    <row r="26" spans="1:4" x14ac:dyDescent="0.35">
      <c r="A26" s="36">
        <v>45854</v>
      </c>
      <c r="B26" t="s">
        <v>137</v>
      </c>
      <c r="C26" t="s">
        <v>138</v>
      </c>
      <c r="D26" s="1">
        <v>18.489999999999998</v>
      </c>
    </row>
    <row r="27" spans="1:4" x14ac:dyDescent="0.35">
      <c r="A27" s="36">
        <v>45854</v>
      </c>
      <c r="B27" t="s">
        <v>137</v>
      </c>
      <c r="C27" t="s">
        <v>138</v>
      </c>
      <c r="D27" s="1">
        <v>74.900000000000006</v>
      </c>
    </row>
    <row r="28" spans="1:4" x14ac:dyDescent="0.35">
      <c r="A28" s="36">
        <v>45854</v>
      </c>
      <c r="B28" t="s">
        <v>137</v>
      </c>
      <c r="C28" t="s">
        <v>138</v>
      </c>
      <c r="D28" s="1">
        <v>24.68</v>
      </c>
    </row>
    <row r="29" spans="1:4" x14ac:dyDescent="0.35">
      <c r="A29" s="36">
        <v>45855</v>
      </c>
      <c r="B29" t="s">
        <v>137</v>
      </c>
      <c r="C29" t="s">
        <v>138</v>
      </c>
      <c r="D29" s="1">
        <v>42.98</v>
      </c>
    </row>
    <row r="30" spans="1:4" x14ac:dyDescent="0.35">
      <c r="A30" s="36">
        <v>45860</v>
      </c>
      <c r="B30" t="s">
        <v>137</v>
      </c>
      <c r="C30" t="s">
        <v>138</v>
      </c>
      <c r="D30" s="1">
        <v>57.9</v>
      </c>
    </row>
    <row r="31" spans="1:4" x14ac:dyDescent="0.35">
      <c r="A31" s="36">
        <v>45860</v>
      </c>
      <c r="B31" t="s">
        <v>137</v>
      </c>
      <c r="C31" t="s">
        <v>138</v>
      </c>
      <c r="D31" s="1">
        <v>8.99</v>
      </c>
    </row>
    <row r="32" spans="1:4" x14ac:dyDescent="0.35">
      <c r="A32" s="36">
        <v>45862</v>
      </c>
      <c r="B32" t="s">
        <v>137</v>
      </c>
      <c r="C32" t="s">
        <v>138</v>
      </c>
      <c r="D32" s="1">
        <v>39.99</v>
      </c>
    </row>
    <row r="33" spans="1:4" x14ac:dyDescent="0.35">
      <c r="A33" s="36">
        <v>45863</v>
      </c>
      <c r="B33" t="s">
        <v>137</v>
      </c>
      <c r="C33" t="s">
        <v>138</v>
      </c>
      <c r="D33" s="1">
        <v>8.4600000000000009</v>
      </c>
    </row>
    <row r="34" spans="1:4" x14ac:dyDescent="0.35">
      <c r="A34" s="36">
        <v>45863</v>
      </c>
      <c r="B34" t="s">
        <v>137</v>
      </c>
      <c r="C34" t="s">
        <v>138</v>
      </c>
      <c r="D34" s="1">
        <v>24.68</v>
      </c>
    </row>
    <row r="35" spans="1:4" x14ac:dyDescent="0.35">
      <c r="A35" s="36">
        <v>45867</v>
      </c>
      <c r="B35" t="s">
        <v>137</v>
      </c>
      <c r="C35" t="s">
        <v>138</v>
      </c>
      <c r="D35" s="1">
        <v>34.99</v>
      </c>
    </row>
    <row r="36" spans="1:4" x14ac:dyDescent="0.35">
      <c r="A36" s="36">
        <v>45868</v>
      </c>
      <c r="B36" t="s">
        <v>137</v>
      </c>
      <c r="C36" t="s">
        <v>138</v>
      </c>
      <c r="D36" s="1">
        <v>23.99</v>
      </c>
    </row>
    <row r="37" spans="1:4" x14ac:dyDescent="0.35">
      <c r="A37" s="36">
        <v>45868</v>
      </c>
      <c r="B37" t="s">
        <v>137</v>
      </c>
      <c r="C37" t="s">
        <v>138</v>
      </c>
      <c r="D37" s="1">
        <v>19.989999999999998</v>
      </c>
    </row>
    <row r="38" spans="1:4" x14ac:dyDescent="0.35">
      <c r="A38" s="36">
        <v>45853</v>
      </c>
      <c r="B38" t="s">
        <v>140</v>
      </c>
      <c r="C38" t="s">
        <v>138</v>
      </c>
      <c r="D38" s="1">
        <v>49.02</v>
      </c>
    </row>
    <row r="39" spans="1:4" x14ac:dyDescent="0.35">
      <c r="A39" s="36">
        <v>45860</v>
      </c>
      <c r="B39" t="s">
        <v>140</v>
      </c>
      <c r="C39" t="s">
        <v>138</v>
      </c>
      <c r="D39" s="1">
        <v>59.9</v>
      </c>
    </row>
    <row r="40" spans="1:4" x14ac:dyDescent="0.35">
      <c r="A40" s="36">
        <v>45867</v>
      </c>
      <c r="B40" t="s">
        <v>140</v>
      </c>
      <c r="C40" t="s">
        <v>138</v>
      </c>
      <c r="D40" s="1">
        <v>744.98</v>
      </c>
    </row>
    <row r="41" spans="1:4" x14ac:dyDescent="0.35">
      <c r="A41" s="36">
        <v>45867</v>
      </c>
      <c r="B41" t="s">
        <v>140</v>
      </c>
      <c r="C41" t="s">
        <v>138</v>
      </c>
      <c r="D41" s="1">
        <v>1199</v>
      </c>
    </row>
    <row r="42" spans="1:4" x14ac:dyDescent="0.35">
      <c r="A42" s="36">
        <v>45867</v>
      </c>
      <c r="B42" t="s">
        <v>140</v>
      </c>
      <c r="C42" t="s">
        <v>138</v>
      </c>
      <c r="D42" s="1">
        <v>224.97</v>
      </c>
    </row>
    <row r="43" spans="1:4" x14ac:dyDescent="0.35">
      <c r="A43" s="36">
        <v>45839</v>
      </c>
      <c r="B43" t="s">
        <v>134</v>
      </c>
      <c r="C43" t="s">
        <v>135</v>
      </c>
      <c r="D43" s="1">
        <v>29</v>
      </c>
    </row>
    <row r="44" spans="1:4" x14ac:dyDescent="0.35">
      <c r="A44" s="36">
        <v>45839</v>
      </c>
      <c r="B44" t="s">
        <v>134</v>
      </c>
      <c r="C44" t="s">
        <v>136</v>
      </c>
      <c r="D44" s="1">
        <v>13.15</v>
      </c>
    </row>
    <row r="45" spans="1:4" x14ac:dyDescent="0.35">
      <c r="A45" s="36">
        <v>45839</v>
      </c>
      <c r="B45" t="s">
        <v>134</v>
      </c>
      <c r="C45" t="s">
        <v>138</v>
      </c>
      <c r="D45" s="1">
        <v>19.2</v>
      </c>
    </row>
    <row r="46" spans="1:4" x14ac:dyDescent="0.35">
      <c r="A46" s="36">
        <v>45840</v>
      </c>
      <c r="B46" t="s">
        <v>134</v>
      </c>
      <c r="C46" t="s">
        <v>135</v>
      </c>
      <c r="D46" s="1">
        <v>29.35</v>
      </c>
    </row>
    <row r="47" spans="1:4" x14ac:dyDescent="0.35">
      <c r="A47" s="36">
        <v>45840</v>
      </c>
      <c r="B47" t="s">
        <v>134</v>
      </c>
      <c r="C47" t="s">
        <v>136</v>
      </c>
      <c r="D47" s="1">
        <v>41.72</v>
      </c>
    </row>
    <row r="48" spans="1:4" x14ac:dyDescent="0.35">
      <c r="A48" s="36">
        <v>45842</v>
      </c>
      <c r="B48" t="s">
        <v>134</v>
      </c>
      <c r="C48" t="s">
        <v>136</v>
      </c>
      <c r="D48" s="1">
        <v>9.99</v>
      </c>
    </row>
    <row r="49" spans="1:4" x14ac:dyDescent="0.35">
      <c r="A49" s="36">
        <v>45846</v>
      </c>
      <c r="B49" t="s">
        <v>134</v>
      </c>
      <c r="C49" t="s">
        <v>79</v>
      </c>
      <c r="D49" s="1">
        <v>17.97</v>
      </c>
    </row>
    <row r="50" spans="1:4" x14ac:dyDescent="0.35">
      <c r="A50" s="36">
        <v>45846</v>
      </c>
      <c r="B50" t="s">
        <v>134</v>
      </c>
      <c r="C50" t="s">
        <v>135</v>
      </c>
      <c r="D50" s="1">
        <v>42.99</v>
      </c>
    </row>
    <row r="51" spans="1:4" x14ac:dyDescent="0.35">
      <c r="A51" s="36">
        <v>45846</v>
      </c>
      <c r="B51" t="s">
        <v>134</v>
      </c>
      <c r="C51" t="s">
        <v>139</v>
      </c>
      <c r="D51" s="1">
        <v>1.99</v>
      </c>
    </row>
    <row r="52" spans="1:4" x14ac:dyDescent="0.35">
      <c r="A52" s="36">
        <v>45846</v>
      </c>
      <c r="B52" t="s">
        <v>134</v>
      </c>
      <c r="C52" t="s">
        <v>138</v>
      </c>
      <c r="D52" s="1">
        <v>6.49</v>
      </c>
    </row>
    <row r="53" spans="1:4" x14ac:dyDescent="0.35">
      <c r="A53" s="36">
        <v>45847</v>
      </c>
      <c r="B53" t="s">
        <v>134</v>
      </c>
      <c r="C53" t="s">
        <v>139</v>
      </c>
      <c r="D53" s="1">
        <v>1.99</v>
      </c>
    </row>
    <row r="54" spans="1:4" x14ac:dyDescent="0.35">
      <c r="A54" s="36">
        <v>45847</v>
      </c>
      <c r="B54" t="s">
        <v>134</v>
      </c>
      <c r="C54" t="s">
        <v>139</v>
      </c>
      <c r="D54" s="1">
        <v>1.99</v>
      </c>
    </row>
    <row r="55" spans="1:4" x14ac:dyDescent="0.35">
      <c r="A55" s="36">
        <v>45849</v>
      </c>
      <c r="B55" t="s">
        <v>134</v>
      </c>
      <c r="C55" t="s">
        <v>139</v>
      </c>
      <c r="D55" s="1">
        <v>1.99</v>
      </c>
    </row>
    <row r="56" spans="1:4" x14ac:dyDescent="0.35">
      <c r="A56" s="36">
        <v>45849</v>
      </c>
      <c r="B56" t="s">
        <v>134</v>
      </c>
      <c r="C56" t="s">
        <v>136</v>
      </c>
      <c r="D56" s="1">
        <v>12.59</v>
      </c>
    </row>
    <row r="57" spans="1:4" x14ac:dyDescent="0.35">
      <c r="A57" s="36">
        <v>45852</v>
      </c>
      <c r="B57" t="s">
        <v>134</v>
      </c>
      <c r="C57" t="s">
        <v>135</v>
      </c>
      <c r="D57" s="1">
        <v>33.94</v>
      </c>
    </row>
    <row r="58" spans="1:4" x14ac:dyDescent="0.35">
      <c r="A58" s="36">
        <v>45852</v>
      </c>
      <c r="B58" t="s">
        <v>134</v>
      </c>
      <c r="C58" t="s">
        <v>139</v>
      </c>
      <c r="D58" s="1">
        <v>1.65</v>
      </c>
    </row>
    <row r="59" spans="1:4" x14ac:dyDescent="0.35">
      <c r="A59" s="36">
        <v>45852</v>
      </c>
      <c r="B59" t="s">
        <v>134</v>
      </c>
      <c r="C59" t="s">
        <v>139</v>
      </c>
      <c r="D59" s="1">
        <v>1.99</v>
      </c>
    </row>
    <row r="60" spans="1:4" x14ac:dyDescent="0.35">
      <c r="A60" s="36">
        <v>45852</v>
      </c>
      <c r="B60" t="s">
        <v>134</v>
      </c>
      <c r="C60" t="s">
        <v>139</v>
      </c>
      <c r="D60" s="1">
        <v>1.99</v>
      </c>
    </row>
    <row r="61" spans="1:4" x14ac:dyDescent="0.35">
      <c r="A61" s="36">
        <v>45853</v>
      </c>
      <c r="B61" t="s">
        <v>134</v>
      </c>
      <c r="C61" t="s">
        <v>139</v>
      </c>
      <c r="D61" s="1">
        <v>1.99</v>
      </c>
    </row>
    <row r="62" spans="1:4" x14ac:dyDescent="0.35">
      <c r="A62" s="36">
        <v>45853</v>
      </c>
      <c r="B62" t="s">
        <v>134</v>
      </c>
      <c r="C62" t="s">
        <v>139</v>
      </c>
      <c r="D62" s="1">
        <v>1.99</v>
      </c>
    </row>
    <row r="63" spans="1:4" x14ac:dyDescent="0.35">
      <c r="A63" s="36">
        <v>45853</v>
      </c>
      <c r="B63" t="s">
        <v>134</v>
      </c>
      <c r="C63" t="s">
        <v>139</v>
      </c>
      <c r="D63" s="1">
        <v>1.99</v>
      </c>
    </row>
    <row r="64" spans="1:4" x14ac:dyDescent="0.35">
      <c r="A64" s="36">
        <v>45853</v>
      </c>
      <c r="B64" t="s">
        <v>134</v>
      </c>
      <c r="C64" t="s">
        <v>139</v>
      </c>
      <c r="D64" s="1">
        <v>1.99</v>
      </c>
    </row>
    <row r="65" spans="1:4" x14ac:dyDescent="0.35">
      <c r="A65" s="36">
        <v>45853</v>
      </c>
      <c r="B65" t="s">
        <v>134</v>
      </c>
      <c r="C65" t="s">
        <v>139</v>
      </c>
      <c r="D65" s="1">
        <v>1.99</v>
      </c>
    </row>
    <row r="66" spans="1:4" x14ac:dyDescent="0.35">
      <c r="A66" s="36">
        <v>45853</v>
      </c>
      <c r="B66" t="s">
        <v>134</v>
      </c>
      <c r="C66" t="s">
        <v>139</v>
      </c>
      <c r="D66" s="1">
        <v>1.99</v>
      </c>
    </row>
    <row r="67" spans="1:4" x14ac:dyDescent="0.35">
      <c r="A67" s="36">
        <v>45853</v>
      </c>
      <c r="B67" t="s">
        <v>134</v>
      </c>
      <c r="C67" t="s">
        <v>139</v>
      </c>
      <c r="D67" s="1">
        <v>1.99</v>
      </c>
    </row>
    <row r="68" spans="1:4" x14ac:dyDescent="0.35">
      <c r="A68" s="36">
        <v>45853</v>
      </c>
      <c r="B68" t="s">
        <v>134</v>
      </c>
      <c r="C68" t="s">
        <v>139</v>
      </c>
      <c r="D68" s="1">
        <v>1.99</v>
      </c>
    </row>
    <row r="69" spans="1:4" x14ac:dyDescent="0.35">
      <c r="A69" s="36">
        <v>45854</v>
      </c>
      <c r="B69" t="s">
        <v>134</v>
      </c>
      <c r="C69" t="s">
        <v>139</v>
      </c>
      <c r="D69" s="1">
        <v>1.99</v>
      </c>
    </row>
    <row r="70" spans="1:4" x14ac:dyDescent="0.35">
      <c r="A70" s="36">
        <v>45854</v>
      </c>
      <c r="B70" t="s">
        <v>134</v>
      </c>
      <c r="C70" t="s">
        <v>139</v>
      </c>
      <c r="D70" s="1">
        <v>1.99</v>
      </c>
    </row>
    <row r="71" spans="1:4" x14ac:dyDescent="0.35">
      <c r="A71" s="36">
        <v>45856</v>
      </c>
      <c r="B71" t="s">
        <v>134</v>
      </c>
      <c r="C71" t="s">
        <v>139</v>
      </c>
      <c r="D71" s="1">
        <v>1.99</v>
      </c>
    </row>
    <row r="72" spans="1:4" x14ac:dyDescent="0.35">
      <c r="A72" s="36">
        <v>45856</v>
      </c>
      <c r="B72" t="s">
        <v>134</v>
      </c>
      <c r="C72" t="s">
        <v>139</v>
      </c>
      <c r="D72" s="1">
        <v>1.99</v>
      </c>
    </row>
    <row r="73" spans="1:4" x14ac:dyDescent="0.35">
      <c r="A73" s="36">
        <v>45856</v>
      </c>
      <c r="B73" t="s">
        <v>134</v>
      </c>
      <c r="C73" t="s">
        <v>139</v>
      </c>
      <c r="D73" s="1">
        <v>1.99</v>
      </c>
    </row>
    <row r="74" spans="1:4" x14ac:dyDescent="0.35">
      <c r="A74" s="36">
        <v>45859</v>
      </c>
      <c r="B74" t="s">
        <v>134</v>
      </c>
      <c r="C74" t="s">
        <v>79</v>
      </c>
      <c r="D74" s="1">
        <v>2.77</v>
      </c>
    </row>
    <row r="75" spans="1:4" x14ac:dyDescent="0.35">
      <c r="A75" s="36">
        <v>45859</v>
      </c>
      <c r="B75" t="s">
        <v>134</v>
      </c>
      <c r="C75" t="s">
        <v>139</v>
      </c>
      <c r="D75" s="1">
        <v>1.99</v>
      </c>
    </row>
    <row r="76" spans="1:4" x14ac:dyDescent="0.35">
      <c r="A76" s="36">
        <v>45860</v>
      </c>
      <c r="B76" t="s">
        <v>134</v>
      </c>
      <c r="C76" t="s">
        <v>139</v>
      </c>
      <c r="D76" s="1">
        <v>1.99</v>
      </c>
    </row>
    <row r="77" spans="1:4" x14ac:dyDescent="0.35">
      <c r="A77" s="36">
        <v>45860</v>
      </c>
      <c r="B77" t="s">
        <v>134</v>
      </c>
      <c r="C77" t="s">
        <v>139</v>
      </c>
      <c r="D77" s="1">
        <v>1.55</v>
      </c>
    </row>
    <row r="78" spans="1:4" x14ac:dyDescent="0.35">
      <c r="A78" s="36">
        <v>45860</v>
      </c>
      <c r="B78" t="s">
        <v>134</v>
      </c>
      <c r="C78" t="s">
        <v>136</v>
      </c>
      <c r="D78" s="1">
        <v>16.8</v>
      </c>
    </row>
    <row r="79" spans="1:4" x14ac:dyDescent="0.35">
      <c r="A79" s="36">
        <v>45860</v>
      </c>
      <c r="B79" t="s">
        <v>134</v>
      </c>
      <c r="C79" t="s">
        <v>138</v>
      </c>
      <c r="D79" s="1">
        <v>18.98</v>
      </c>
    </row>
    <row r="80" spans="1:4" x14ac:dyDescent="0.35">
      <c r="A80" s="36">
        <v>45861</v>
      </c>
      <c r="B80" t="s">
        <v>134</v>
      </c>
      <c r="C80" t="s">
        <v>139</v>
      </c>
      <c r="D80" s="1">
        <v>1.99</v>
      </c>
    </row>
    <row r="81" spans="1:4" x14ac:dyDescent="0.35">
      <c r="A81" s="36">
        <v>45861</v>
      </c>
      <c r="B81" t="s">
        <v>134</v>
      </c>
      <c r="C81" t="s">
        <v>139</v>
      </c>
      <c r="D81" s="1">
        <v>1.99</v>
      </c>
    </row>
    <row r="82" spans="1:4" x14ac:dyDescent="0.35">
      <c r="A82" s="36">
        <v>45862</v>
      </c>
      <c r="B82" t="s">
        <v>134</v>
      </c>
      <c r="C82" t="s">
        <v>139</v>
      </c>
      <c r="D82" s="1">
        <v>4.99</v>
      </c>
    </row>
    <row r="83" spans="1:4" x14ac:dyDescent="0.35">
      <c r="A83" s="36">
        <v>45862</v>
      </c>
      <c r="B83" t="s">
        <v>134</v>
      </c>
      <c r="C83" t="s">
        <v>139</v>
      </c>
      <c r="D83" s="1">
        <v>1.99</v>
      </c>
    </row>
    <row r="84" spans="1:4" x14ac:dyDescent="0.35">
      <c r="A84" s="36">
        <v>45862</v>
      </c>
      <c r="B84" t="s">
        <v>134</v>
      </c>
      <c r="C84" t="s">
        <v>139</v>
      </c>
      <c r="D84" s="1">
        <v>1.99</v>
      </c>
    </row>
    <row r="85" spans="1:4" x14ac:dyDescent="0.35">
      <c r="A85" s="36">
        <v>45863</v>
      </c>
      <c r="B85" t="s">
        <v>134</v>
      </c>
      <c r="C85" t="s">
        <v>135</v>
      </c>
      <c r="D85" s="1">
        <v>52.99</v>
      </c>
    </row>
    <row r="86" spans="1:4" x14ac:dyDescent="0.35">
      <c r="A86" s="36">
        <v>45863</v>
      </c>
      <c r="B86" t="s">
        <v>134</v>
      </c>
      <c r="C86" t="s">
        <v>139</v>
      </c>
      <c r="D86" s="1">
        <v>1.99</v>
      </c>
    </row>
    <row r="87" spans="1:4" x14ac:dyDescent="0.35">
      <c r="A87" s="36">
        <v>45863</v>
      </c>
      <c r="B87" t="s">
        <v>134</v>
      </c>
      <c r="C87" t="s">
        <v>138</v>
      </c>
      <c r="D87" s="1">
        <v>31.05</v>
      </c>
    </row>
    <row r="88" spans="1:4" x14ac:dyDescent="0.35">
      <c r="A88" s="36">
        <v>45863</v>
      </c>
      <c r="B88" t="s">
        <v>134</v>
      </c>
      <c r="C88" t="s">
        <v>138</v>
      </c>
      <c r="D88" s="1">
        <v>72.510000000000005</v>
      </c>
    </row>
    <row r="89" spans="1:4" x14ac:dyDescent="0.35">
      <c r="A89" s="36">
        <v>45866</v>
      </c>
      <c r="B89" t="s">
        <v>134</v>
      </c>
      <c r="C89" t="s">
        <v>139</v>
      </c>
      <c r="D89" s="1">
        <v>1.99</v>
      </c>
    </row>
    <row r="90" spans="1:4" x14ac:dyDescent="0.35">
      <c r="A90" s="36">
        <v>45866</v>
      </c>
      <c r="B90" t="s">
        <v>134</v>
      </c>
      <c r="C90" t="s">
        <v>139</v>
      </c>
      <c r="D90" s="1">
        <v>1.99</v>
      </c>
    </row>
    <row r="91" spans="1:4" x14ac:dyDescent="0.35">
      <c r="A91" s="36">
        <v>45866</v>
      </c>
      <c r="B91" t="s">
        <v>134</v>
      </c>
      <c r="C91" t="s">
        <v>139</v>
      </c>
      <c r="D91" s="1">
        <v>1.81</v>
      </c>
    </row>
    <row r="92" spans="1:4" x14ac:dyDescent="0.35">
      <c r="A92" s="36">
        <v>45866</v>
      </c>
      <c r="B92" t="s">
        <v>134</v>
      </c>
      <c r="C92" t="s">
        <v>138</v>
      </c>
      <c r="D92" s="1">
        <v>0.99</v>
      </c>
    </row>
    <row r="93" spans="1:4" x14ac:dyDescent="0.35">
      <c r="A93" s="36">
        <v>45867</v>
      </c>
      <c r="B93" t="s">
        <v>134</v>
      </c>
      <c r="C93" t="s">
        <v>139</v>
      </c>
      <c r="D93" s="1">
        <v>1.99</v>
      </c>
    </row>
    <row r="94" spans="1:4" x14ac:dyDescent="0.35">
      <c r="A94" s="36">
        <v>45867</v>
      </c>
      <c r="B94" t="s">
        <v>134</v>
      </c>
      <c r="C94" t="s">
        <v>139</v>
      </c>
      <c r="D94" s="1">
        <v>1.99</v>
      </c>
    </row>
    <row r="95" spans="1:4" x14ac:dyDescent="0.35">
      <c r="A95" s="36">
        <v>45867</v>
      </c>
      <c r="B95" t="s">
        <v>134</v>
      </c>
      <c r="C95" t="s">
        <v>139</v>
      </c>
      <c r="D95" s="1">
        <v>1.99</v>
      </c>
    </row>
    <row r="96" spans="1:4" x14ac:dyDescent="0.35">
      <c r="A96" s="36">
        <v>45867</v>
      </c>
      <c r="B96" t="s">
        <v>134</v>
      </c>
      <c r="C96" t="s">
        <v>139</v>
      </c>
      <c r="D96" s="1">
        <v>1.99</v>
      </c>
    </row>
    <row r="97" spans="1:4" x14ac:dyDescent="0.35">
      <c r="A97" s="36">
        <v>45867</v>
      </c>
      <c r="B97" t="s">
        <v>134</v>
      </c>
      <c r="C97" t="s">
        <v>139</v>
      </c>
      <c r="D97" s="1">
        <v>1.99</v>
      </c>
    </row>
    <row r="98" spans="1:4" x14ac:dyDescent="0.35">
      <c r="A98" s="36">
        <v>45867</v>
      </c>
      <c r="B98" t="s">
        <v>134</v>
      </c>
      <c r="C98" t="s">
        <v>139</v>
      </c>
      <c r="D98" s="1">
        <v>1.99</v>
      </c>
    </row>
    <row r="99" spans="1:4" x14ac:dyDescent="0.35">
      <c r="A99" s="36">
        <v>45867</v>
      </c>
      <c r="B99" t="s">
        <v>134</v>
      </c>
      <c r="C99" t="s">
        <v>139</v>
      </c>
      <c r="D99" s="1">
        <v>1.65</v>
      </c>
    </row>
    <row r="100" spans="1:4" x14ac:dyDescent="0.35">
      <c r="A100" s="36">
        <v>45867</v>
      </c>
      <c r="B100" t="s">
        <v>134</v>
      </c>
      <c r="C100" t="s">
        <v>139</v>
      </c>
      <c r="D100" s="1">
        <v>1.99</v>
      </c>
    </row>
    <row r="101" spans="1:4" x14ac:dyDescent="0.35">
      <c r="A101" s="36">
        <v>45867</v>
      </c>
      <c r="B101" t="s">
        <v>134</v>
      </c>
      <c r="C101" t="s">
        <v>139</v>
      </c>
      <c r="D101" s="1">
        <v>1.99</v>
      </c>
    </row>
    <row r="102" spans="1:4" x14ac:dyDescent="0.35">
      <c r="A102" s="36">
        <v>45867</v>
      </c>
      <c r="B102" t="s">
        <v>134</v>
      </c>
      <c r="C102" t="s">
        <v>138</v>
      </c>
      <c r="D102" s="1">
        <v>208.5</v>
      </c>
    </row>
    <row r="103" spans="1:4" x14ac:dyDescent="0.35">
      <c r="A103" s="36">
        <v>45868</v>
      </c>
      <c r="B103" t="s">
        <v>134</v>
      </c>
      <c r="C103" t="s">
        <v>79</v>
      </c>
      <c r="D103" s="1">
        <v>5.47</v>
      </c>
    </row>
    <row r="104" spans="1:4" x14ac:dyDescent="0.35">
      <c r="A104" s="36">
        <v>45868</v>
      </c>
      <c r="B104" t="s">
        <v>134</v>
      </c>
      <c r="C104" t="s">
        <v>139</v>
      </c>
      <c r="D104" s="1">
        <v>1.99</v>
      </c>
    </row>
    <row r="105" spans="1:4" x14ac:dyDescent="0.35">
      <c r="A105" s="36">
        <v>45869</v>
      </c>
      <c r="B105" t="s">
        <v>134</v>
      </c>
      <c r="C105" t="s">
        <v>139</v>
      </c>
      <c r="D105" s="1">
        <v>1.99</v>
      </c>
    </row>
    <row r="106" spans="1:4" x14ac:dyDescent="0.35">
      <c r="A106" s="36">
        <v>45869</v>
      </c>
      <c r="B106" t="s">
        <v>134</v>
      </c>
      <c r="C106" t="s">
        <v>139</v>
      </c>
      <c r="D106" s="1">
        <v>1.99</v>
      </c>
    </row>
    <row r="107" spans="1:4" x14ac:dyDescent="0.35">
      <c r="A107" s="36">
        <v>45839</v>
      </c>
      <c r="B107" t="s">
        <v>132</v>
      </c>
      <c r="C107" t="s">
        <v>133</v>
      </c>
      <c r="D107" s="1">
        <v>50</v>
      </c>
    </row>
    <row r="108" spans="1:4" x14ac:dyDescent="0.35">
      <c r="A108" s="36">
        <v>45839</v>
      </c>
      <c r="B108" t="s">
        <v>132</v>
      </c>
      <c r="C108" t="s">
        <v>133</v>
      </c>
      <c r="D108" s="1">
        <v>50</v>
      </c>
    </row>
    <row r="109" spans="1:4" x14ac:dyDescent="0.35">
      <c r="A109" s="36">
        <v>45839</v>
      </c>
      <c r="B109" t="s">
        <v>132</v>
      </c>
      <c r="C109" t="s">
        <v>133</v>
      </c>
      <c r="D109" s="1">
        <v>54.5</v>
      </c>
    </row>
    <row r="110" spans="1:4" x14ac:dyDescent="0.35">
      <c r="A110" s="36">
        <v>45839</v>
      </c>
      <c r="B110" t="s">
        <v>132</v>
      </c>
      <c r="C110" t="s">
        <v>79</v>
      </c>
      <c r="D110" s="1">
        <v>89.14</v>
      </c>
    </row>
    <row r="111" spans="1:4" x14ac:dyDescent="0.35">
      <c r="A111" s="36">
        <v>45839</v>
      </c>
      <c r="B111" t="s">
        <v>132</v>
      </c>
      <c r="C111" t="s">
        <v>79</v>
      </c>
      <c r="D111" s="1">
        <v>4.75</v>
      </c>
    </row>
    <row r="112" spans="1:4" x14ac:dyDescent="0.35">
      <c r="A112" s="36">
        <v>45840</v>
      </c>
      <c r="B112" t="s">
        <v>132</v>
      </c>
      <c r="C112" t="s">
        <v>81</v>
      </c>
      <c r="D112" s="1">
        <v>67.53</v>
      </c>
    </row>
    <row r="113" spans="1:4" x14ac:dyDescent="0.35">
      <c r="A113" s="36">
        <v>45841</v>
      </c>
      <c r="B113" t="s">
        <v>132</v>
      </c>
      <c r="C113" t="s">
        <v>79</v>
      </c>
      <c r="D113" s="1">
        <v>7.05</v>
      </c>
    </row>
    <row r="114" spans="1:4" x14ac:dyDescent="0.35">
      <c r="A114" s="36">
        <v>45842</v>
      </c>
      <c r="B114" t="s">
        <v>132</v>
      </c>
      <c r="C114" t="s">
        <v>79</v>
      </c>
      <c r="D114" s="1">
        <v>98.05</v>
      </c>
    </row>
    <row r="115" spans="1:4" x14ac:dyDescent="0.35">
      <c r="A115" s="36">
        <v>45842</v>
      </c>
      <c r="B115" t="s">
        <v>132</v>
      </c>
      <c r="C115" t="s">
        <v>79</v>
      </c>
      <c r="D115" s="1">
        <v>15.82</v>
      </c>
    </row>
    <row r="116" spans="1:4" x14ac:dyDescent="0.35">
      <c r="A116" s="36">
        <v>45845</v>
      </c>
      <c r="B116" t="s">
        <v>132</v>
      </c>
      <c r="C116" t="s">
        <v>79</v>
      </c>
      <c r="D116" s="1">
        <v>6.99</v>
      </c>
    </row>
    <row r="117" spans="1:4" x14ac:dyDescent="0.35">
      <c r="A117" s="36">
        <v>45845</v>
      </c>
      <c r="B117" t="s">
        <v>132</v>
      </c>
      <c r="C117" t="s">
        <v>81</v>
      </c>
      <c r="D117" s="1">
        <v>58.23</v>
      </c>
    </row>
    <row r="118" spans="1:4" x14ac:dyDescent="0.35">
      <c r="A118" s="36">
        <v>45846</v>
      </c>
      <c r="B118" t="s">
        <v>132</v>
      </c>
      <c r="C118" t="s">
        <v>133</v>
      </c>
      <c r="D118" s="1">
        <v>60</v>
      </c>
    </row>
    <row r="119" spans="1:4" x14ac:dyDescent="0.35">
      <c r="A119" s="36">
        <v>45848</v>
      </c>
      <c r="B119" t="s">
        <v>132</v>
      </c>
      <c r="C119" t="s">
        <v>79</v>
      </c>
      <c r="D119" s="1">
        <v>72.59</v>
      </c>
    </row>
    <row r="120" spans="1:4" x14ac:dyDescent="0.35">
      <c r="A120" s="36">
        <v>45848</v>
      </c>
      <c r="B120" t="s">
        <v>132</v>
      </c>
      <c r="C120" t="s">
        <v>79</v>
      </c>
      <c r="D120" s="1">
        <v>11.49</v>
      </c>
    </row>
    <row r="121" spans="1:4" x14ac:dyDescent="0.35">
      <c r="A121" s="36">
        <v>45852</v>
      </c>
      <c r="B121" t="s">
        <v>132</v>
      </c>
      <c r="C121" t="s">
        <v>135</v>
      </c>
      <c r="D121" s="1">
        <v>83</v>
      </c>
    </row>
    <row r="122" spans="1:4" x14ac:dyDescent="0.35">
      <c r="A122" s="36">
        <v>45853</v>
      </c>
      <c r="B122" t="s">
        <v>132</v>
      </c>
      <c r="C122" t="s">
        <v>79</v>
      </c>
      <c r="D122" s="1">
        <v>65.09</v>
      </c>
    </row>
    <row r="123" spans="1:4" x14ac:dyDescent="0.35">
      <c r="A123" s="36">
        <v>45853</v>
      </c>
      <c r="B123" t="s">
        <v>132</v>
      </c>
      <c r="C123" t="s">
        <v>81</v>
      </c>
      <c r="D123" s="1">
        <v>52.67</v>
      </c>
    </row>
    <row r="124" spans="1:4" x14ac:dyDescent="0.35">
      <c r="A124" s="36">
        <v>45855</v>
      </c>
      <c r="B124" t="s">
        <v>132</v>
      </c>
      <c r="C124" t="s">
        <v>79</v>
      </c>
      <c r="D124" s="1">
        <v>57.23</v>
      </c>
    </row>
    <row r="125" spans="1:4" x14ac:dyDescent="0.35">
      <c r="A125" s="36">
        <v>45855</v>
      </c>
      <c r="B125" t="s">
        <v>132</v>
      </c>
      <c r="C125" t="s">
        <v>79</v>
      </c>
      <c r="D125" s="1">
        <v>7.35</v>
      </c>
    </row>
    <row r="126" spans="1:4" x14ac:dyDescent="0.35">
      <c r="A126" s="36">
        <v>45856</v>
      </c>
      <c r="B126" t="s">
        <v>132</v>
      </c>
      <c r="C126" t="s">
        <v>135</v>
      </c>
      <c r="D126" s="1">
        <v>36</v>
      </c>
    </row>
    <row r="127" spans="1:4" x14ac:dyDescent="0.35">
      <c r="A127" s="36">
        <v>45860</v>
      </c>
      <c r="B127" t="s">
        <v>132</v>
      </c>
      <c r="C127" t="s">
        <v>79</v>
      </c>
      <c r="D127" s="1">
        <v>88.84</v>
      </c>
    </row>
    <row r="128" spans="1:4" x14ac:dyDescent="0.35">
      <c r="A128" s="36">
        <v>45860</v>
      </c>
      <c r="B128" t="s">
        <v>132</v>
      </c>
      <c r="C128" t="s">
        <v>79</v>
      </c>
      <c r="D128" s="1">
        <v>8.84</v>
      </c>
    </row>
    <row r="129" spans="1:4" x14ac:dyDescent="0.35">
      <c r="A129" s="36">
        <v>45860</v>
      </c>
      <c r="B129" t="s">
        <v>132</v>
      </c>
      <c r="C129" t="s">
        <v>135</v>
      </c>
      <c r="D129" s="1">
        <v>19.5</v>
      </c>
    </row>
    <row r="130" spans="1:4" x14ac:dyDescent="0.35">
      <c r="A130" s="36">
        <v>45861</v>
      </c>
      <c r="B130" t="s">
        <v>132</v>
      </c>
      <c r="C130" t="s">
        <v>79</v>
      </c>
      <c r="D130" s="1">
        <v>70.12</v>
      </c>
    </row>
    <row r="131" spans="1:4" x14ac:dyDescent="0.35">
      <c r="A131" s="36">
        <v>45862</v>
      </c>
      <c r="B131" t="s">
        <v>132</v>
      </c>
      <c r="C131" t="s">
        <v>79</v>
      </c>
      <c r="D131" s="1">
        <v>7.3</v>
      </c>
    </row>
    <row r="132" spans="1:4" x14ac:dyDescent="0.35">
      <c r="A132" s="36">
        <v>45862</v>
      </c>
      <c r="B132" t="s">
        <v>132</v>
      </c>
      <c r="C132" t="s">
        <v>79</v>
      </c>
      <c r="D132" s="1">
        <v>5.7</v>
      </c>
    </row>
    <row r="133" spans="1:4" x14ac:dyDescent="0.35">
      <c r="A133" s="36">
        <v>45862</v>
      </c>
      <c r="B133" t="s">
        <v>132</v>
      </c>
      <c r="C133" t="s">
        <v>81</v>
      </c>
      <c r="D133" s="1">
        <v>68.06</v>
      </c>
    </row>
    <row r="134" spans="1:4" x14ac:dyDescent="0.35">
      <c r="A134" s="36">
        <v>45866</v>
      </c>
      <c r="B134" t="s">
        <v>132</v>
      </c>
      <c r="C134" t="s">
        <v>135</v>
      </c>
      <c r="D134" s="1">
        <v>48</v>
      </c>
    </row>
    <row r="135" spans="1:4" x14ac:dyDescent="0.35">
      <c r="A135" s="36">
        <v>45867</v>
      </c>
      <c r="B135" t="s">
        <v>132</v>
      </c>
      <c r="C135" t="s">
        <v>79</v>
      </c>
      <c r="D135" s="1">
        <v>2.95</v>
      </c>
    </row>
    <row r="136" spans="1:4" x14ac:dyDescent="0.35">
      <c r="A136" s="36">
        <v>45867</v>
      </c>
      <c r="B136" t="s">
        <v>132</v>
      </c>
      <c r="C136" t="s">
        <v>79</v>
      </c>
      <c r="D136" s="1">
        <v>44.25</v>
      </c>
    </row>
    <row r="137" spans="1:4" x14ac:dyDescent="0.35">
      <c r="A137" s="36">
        <v>45867</v>
      </c>
      <c r="B137" t="s">
        <v>132</v>
      </c>
      <c r="C137" t="s">
        <v>79</v>
      </c>
      <c r="D137" s="1">
        <v>81.94</v>
      </c>
    </row>
    <row r="138" spans="1:4" x14ac:dyDescent="0.35">
      <c r="A138" s="36">
        <v>45868</v>
      </c>
      <c r="B138" t="s">
        <v>132</v>
      </c>
      <c r="C138" t="s">
        <v>79</v>
      </c>
      <c r="D138" s="1">
        <v>42.78</v>
      </c>
    </row>
    <row r="139" spans="1:4" x14ac:dyDescent="0.35">
      <c r="A139" s="36">
        <v>45868</v>
      </c>
      <c r="B139" t="s">
        <v>132</v>
      </c>
      <c r="C139" t="s">
        <v>79</v>
      </c>
      <c r="D139" s="1">
        <v>1.25</v>
      </c>
    </row>
    <row r="140" spans="1:4" x14ac:dyDescent="0.35">
      <c r="A140" s="36">
        <v>45868</v>
      </c>
      <c r="B140" t="s">
        <v>132</v>
      </c>
      <c r="C140" t="s">
        <v>81</v>
      </c>
      <c r="D140" s="1">
        <v>64.569999999999993</v>
      </c>
    </row>
    <row r="141" spans="1:4" x14ac:dyDescent="0.35">
      <c r="A141" s="36">
        <v>45868</v>
      </c>
      <c r="B141" t="s">
        <v>132</v>
      </c>
      <c r="C141" t="s">
        <v>138</v>
      </c>
      <c r="D141" s="1">
        <v>67.48</v>
      </c>
    </row>
    <row r="142" spans="1:4" x14ac:dyDescent="0.35">
      <c r="A142" s="36">
        <v>45869</v>
      </c>
      <c r="B142" t="s">
        <v>132</v>
      </c>
      <c r="C142" t="s">
        <v>138</v>
      </c>
      <c r="D142" s="1">
        <v>49.98</v>
      </c>
    </row>
    <row r="145" spans="4:4" x14ac:dyDescent="0.35">
      <c r="D145" s="1"/>
    </row>
  </sheetData>
  <mergeCells count="1">
    <mergeCell ref="G1:H1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activeCell="K32" sqref="K32"/>
    </sheetView>
  </sheetViews>
  <sheetFormatPr defaultColWidth="8.81640625" defaultRowHeight="14.5" x14ac:dyDescent="0.35"/>
  <cols>
    <col min="1" max="1" width="9.81640625" bestFit="1" customWidth="1"/>
    <col min="2" max="2" width="7.7265625" bestFit="1" customWidth="1"/>
    <col min="3" max="3" width="7.26953125" bestFit="1" customWidth="1"/>
    <col min="4" max="4" width="8.54296875" bestFit="1" customWidth="1"/>
    <col min="8" max="8" width="13.26953125" customWidth="1"/>
  </cols>
  <sheetData>
    <row r="1" spans="1:8" x14ac:dyDescent="0.35">
      <c r="A1" s="39" t="s">
        <v>130</v>
      </c>
      <c r="B1" s="37" t="s">
        <v>131</v>
      </c>
      <c r="C1" s="37" t="s">
        <v>33</v>
      </c>
      <c r="D1" s="38" t="s">
        <v>7</v>
      </c>
      <c r="G1" s="45" t="s">
        <v>141</v>
      </c>
      <c r="H1" s="45"/>
    </row>
    <row r="2" spans="1:8" x14ac:dyDescent="0.35">
      <c r="A2" s="36">
        <v>45870</v>
      </c>
      <c r="B2" t="s">
        <v>134</v>
      </c>
      <c r="C2" t="s">
        <v>139</v>
      </c>
      <c r="D2" s="1">
        <v>1.99</v>
      </c>
      <c r="G2" s="37" t="s">
        <v>33</v>
      </c>
      <c r="H2" s="38" t="s">
        <v>7</v>
      </c>
    </row>
    <row r="3" spans="1:8" x14ac:dyDescent="0.35">
      <c r="A3" s="36">
        <v>45870</v>
      </c>
      <c r="B3" t="s">
        <v>132</v>
      </c>
      <c r="C3" t="s">
        <v>138</v>
      </c>
      <c r="D3" s="1">
        <f>5+2.5+18+7.5</f>
        <v>33</v>
      </c>
      <c r="G3" t="s">
        <v>133</v>
      </c>
      <c r="H3" s="40">
        <f>SUMIF(C:C,"Bargeld",D:D)</f>
        <v>155</v>
      </c>
    </row>
    <row r="4" spans="1:8" x14ac:dyDescent="0.35">
      <c r="A4" s="36">
        <v>45870</v>
      </c>
      <c r="B4" t="s">
        <v>132</v>
      </c>
      <c r="C4" t="s">
        <v>133</v>
      </c>
      <c r="D4" s="1">
        <v>105</v>
      </c>
      <c r="G4" t="s">
        <v>142</v>
      </c>
      <c r="H4" s="40">
        <f>SUMIF(C:C,"Blizzard",D:D)</f>
        <v>12.99</v>
      </c>
    </row>
    <row r="5" spans="1:8" x14ac:dyDescent="0.35">
      <c r="A5" s="36">
        <v>45873</v>
      </c>
      <c r="B5" t="s">
        <v>134</v>
      </c>
      <c r="C5" t="s">
        <v>139</v>
      </c>
      <c r="D5" s="1">
        <v>1.99</v>
      </c>
      <c r="G5" t="s">
        <v>79</v>
      </c>
      <c r="H5" s="40">
        <f>SUMIF(C:C,"Einkauf",D:D)</f>
        <v>751.00999999999976</v>
      </c>
    </row>
    <row r="6" spans="1:8" x14ac:dyDescent="0.35">
      <c r="A6" s="36">
        <v>45873</v>
      </c>
      <c r="B6" t="s">
        <v>134</v>
      </c>
      <c r="C6" t="s">
        <v>139</v>
      </c>
      <c r="D6" s="1">
        <v>1.99</v>
      </c>
      <c r="G6" t="s">
        <v>135</v>
      </c>
      <c r="H6" s="40">
        <f>SUMIF(C:C,"Essen",D:D)</f>
        <v>205.79000000000002</v>
      </c>
    </row>
    <row r="7" spans="1:8" x14ac:dyDescent="0.35">
      <c r="A7" s="36">
        <v>45873</v>
      </c>
      <c r="B7" t="s">
        <v>134</v>
      </c>
      <c r="C7" t="s">
        <v>139</v>
      </c>
      <c r="D7" s="1">
        <v>1.99</v>
      </c>
      <c r="G7" t="s">
        <v>138</v>
      </c>
      <c r="H7" s="40">
        <f>SUMIF(C:C,"Zeug",D:D)</f>
        <v>1103.67</v>
      </c>
    </row>
    <row r="8" spans="1:8" x14ac:dyDescent="0.35">
      <c r="A8" s="36">
        <v>45873</v>
      </c>
      <c r="B8" t="s">
        <v>137</v>
      </c>
      <c r="C8" t="s">
        <v>138</v>
      </c>
      <c r="D8" s="1">
        <v>7.95</v>
      </c>
      <c r="G8" t="s">
        <v>139</v>
      </c>
      <c r="H8" s="40">
        <f>SUMIF(C:C,"Google",D:D)</f>
        <v>46.41</v>
      </c>
    </row>
    <row r="9" spans="1:8" x14ac:dyDescent="0.35">
      <c r="A9" s="36">
        <v>45873</v>
      </c>
      <c r="B9" t="s">
        <v>134</v>
      </c>
      <c r="C9" t="s">
        <v>139</v>
      </c>
      <c r="D9" s="1">
        <v>1.87</v>
      </c>
      <c r="G9" t="s">
        <v>81</v>
      </c>
      <c r="H9" s="40">
        <f>SUMIF(C:C,"Tanken",D:D)</f>
        <v>277</v>
      </c>
    </row>
    <row r="10" spans="1:8" x14ac:dyDescent="0.35">
      <c r="A10" s="36">
        <v>45873</v>
      </c>
      <c r="B10" t="s">
        <v>134</v>
      </c>
      <c r="C10" t="s">
        <v>138</v>
      </c>
      <c r="D10" s="1">
        <v>75</v>
      </c>
    </row>
    <row r="11" spans="1:8" x14ac:dyDescent="0.35">
      <c r="A11" s="36">
        <v>45873</v>
      </c>
      <c r="B11" t="s">
        <v>134</v>
      </c>
      <c r="C11" t="s">
        <v>139</v>
      </c>
      <c r="D11" s="1">
        <v>1.99</v>
      </c>
      <c r="H11" s="1"/>
    </row>
    <row r="12" spans="1:8" x14ac:dyDescent="0.35">
      <c r="A12" s="36">
        <v>45873</v>
      </c>
      <c r="B12" t="s">
        <v>132</v>
      </c>
      <c r="C12" t="s">
        <v>138</v>
      </c>
      <c r="D12" s="1">
        <v>27</v>
      </c>
    </row>
    <row r="13" spans="1:8" x14ac:dyDescent="0.35">
      <c r="A13" s="36">
        <v>45873</v>
      </c>
      <c r="B13" t="s">
        <v>132</v>
      </c>
      <c r="C13" t="s">
        <v>79</v>
      </c>
      <c r="D13" s="1">
        <v>2.6</v>
      </c>
    </row>
    <row r="14" spans="1:8" x14ac:dyDescent="0.35">
      <c r="A14" s="36">
        <v>45874</v>
      </c>
      <c r="B14" t="s">
        <v>134</v>
      </c>
      <c r="C14" t="s">
        <v>139</v>
      </c>
      <c r="D14" s="1">
        <v>1.9</v>
      </c>
    </row>
    <row r="15" spans="1:8" x14ac:dyDescent="0.35">
      <c r="A15" s="36">
        <v>45874</v>
      </c>
      <c r="B15" t="s">
        <v>137</v>
      </c>
      <c r="C15" t="s">
        <v>138</v>
      </c>
      <c r="D15" s="1">
        <v>11.99</v>
      </c>
    </row>
    <row r="16" spans="1:8" x14ac:dyDescent="0.35">
      <c r="A16" s="36">
        <v>45874</v>
      </c>
      <c r="B16" t="s">
        <v>134</v>
      </c>
      <c r="C16" t="s">
        <v>79</v>
      </c>
      <c r="D16" s="1">
        <v>16.29</v>
      </c>
    </row>
    <row r="17" spans="1:4" x14ac:dyDescent="0.35">
      <c r="A17" s="36">
        <v>45874</v>
      </c>
      <c r="B17" t="s">
        <v>140</v>
      </c>
      <c r="C17" t="s">
        <v>138</v>
      </c>
      <c r="D17" s="1">
        <v>34.08</v>
      </c>
    </row>
    <row r="18" spans="1:4" x14ac:dyDescent="0.35">
      <c r="A18" s="36">
        <v>45874</v>
      </c>
      <c r="B18" t="s">
        <v>132</v>
      </c>
      <c r="C18" t="s">
        <v>79</v>
      </c>
      <c r="D18" s="1">
        <v>2.85</v>
      </c>
    </row>
    <row r="19" spans="1:4" x14ac:dyDescent="0.35">
      <c r="A19" s="36">
        <v>45874</v>
      </c>
      <c r="B19" t="s">
        <v>132</v>
      </c>
      <c r="C19" t="s">
        <v>79</v>
      </c>
      <c r="D19" s="1">
        <v>64.89</v>
      </c>
    </row>
    <row r="20" spans="1:4" x14ac:dyDescent="0.35">
      <c r="A20" s="36">
        <v>45874</v>
      </c>
      <c r="B20" t="s">
        <v>132</v>
      </c>
      <c r="C20" t="s">
        <v>138</v>
      </c>
      <c r="D20" s="1">
        <v>44.55</v>
      </c>
    </row>
    <row r="21" spans="1:4" x14ac:dyDescent="0.35">
      <c r="A21" s="36">
        <v>45875</v>
      </c>
      <c r="B21" t="s">
        <v>137</v>
      </c>
      <c r="C21" t="s">
        <v>138</v>
      </c>
      <c r="D21" s="1">
        <v>15.99</v>
      </c>
    </row>
    <row r="22" spans="1:4" x14ac:dyDescent="0.35">
      <c r="A22" s="36">
        <v>45875</v>
      </c>
      <c r="B22" t="s">
        <v>134</v>
      </c>
      <c r="C22" t="s">
        <v>139</v>
      </c>
      <c r="D22" s="1">
        <v>1.99</v>
      </c>
    </row>
    <row r="23" spans="1:4" x14ac:dyDescent="0.35">
      <c r="A23" s="36">
        <v>45875</v>
      </c>
      <c r="B23" t="s">
        <v>134</v>
      </c>
      <c r="C23" t="s">
        <v>139</v>
      </c>
      <c r="D23" s="1">
        <v>1.99</v>
      </c>
    </row>
    <row r="24" spans="1:4" x14ac:dyDescent="0.35">
      <c r="A24" s="36">
        <v>45875</v>
      </c>
      <c r="B24" t="s">
        <v>134</v>
      </c>
      <c r="C24" t="s">
        <v>139</v>
      </c>
      <c r="D24" s="1">
        <v>1.52</v>
      </c>
    </row>
    <row r="25" spans="1:4" x14ac:dyDescent="0.35">
      <c r="A25" s="36">
        <v>45875</v>
      </c>
      <c r="B25" t="s">
        <v>132</v>
      </c>
      <c r="C25" t="s">
        <v>138</v>
      </c>
      <c r="D25" s="1">
        <v>60</v>
      </c>
    </row>
    <row r="26" spans="1:4" x14ac:dyDescent="0.35">
      <c r="A26" s="36">
        <v>45875</v>
      </c>
      <c r="B26" t="s">
        <v>132</v>
      </c>
      <c r="C26" t="s">
        <v>138</v>
      </c>
      <c r="D26" s="1">
        <v>7.5</v>
      </c>
    </row>
    <row r="27" spans="1:4" x14ac:dyDescent="0.35">
      <c r="A27" s="36">
        <v>45877</v>
      </c>
      <c r="B27" t="s">
        <v>140</v>
      </c>
      <c r="C27" t="s">
        <v>138</v>
      </c>
      <c r="D27" s="1">
        <v>34.28</v>
      </c>
    </row>
    <row r="28" spans="1:4" x14ac:dyDescent="0.35">
      <c r="A28" s="36">
        <v>45877</v>
      </c>
      <c r="B28" t="s">
        <v>132</v>
      </c>
      <c r="C28" t="s">
        <v>79</v>
      </c>
      <c r="D28" s="1">
        <v>47.29</v>
      </c>
    </row>
    <row r="29" spans="1:4" x14ac:dyDescent="0.35">
      <c r="A29" s="36">
        <v>45877</v>
      </c>
      <c r="B29" t="s">
        <v>132</v>
      </c>
      <c r="C29" t="s">
        <v>79</v>
      </c>
      <c r="D29" s="1">
        <v>13.35</v>
      </c>
    </row>
    <row r="30" spans="1:4" x14ac:dyDescent="0.35">
      <c r="A30" s="36">
        <v>45877</v>
      </c>
      <c r="B30" t="s">
        <v>137</v>
      </c>
      <c r="C30" t="s">
        <v>138</v>
      </c>
      <c r="D30" s="1">
        <v>24.99</v>
      </c>
    </row>
    <row r="31" spans="1:4" x14ac:dyDescent="0.35">
      <c r="A31" s="36">
        <v>45877</v>
      </c>
      <c r="B31" t="s">
        <v>134</v>
      </c>
      <c r="C31" t="s">
        <v>135</v>
      </c>
      <c r="D31" s="1">
        <v>45.8</v>
      </c>
    </row>
    <row r="32" spans="1:4" x14ac:dyDescent="0.35">
      <c r="A32" s="36">
        <v>45877</v>
      </c>
      <c r="B32" t="s">
        <v>132</v>
      </c>
      <c r="C32" t="s">
        <v>81</v>
      </c>
      <c r="D32" s="1">
        <v>65.38</v>
      </c>
    </row>
    <row r="33" spans="1:4" x14ac:dyDescent="0.35">
      <c r="A33" s="36">
        <v>45880</v>
      </c>
      <c r="B33" t="s">
        <v>132</v>
      </c>
      <c r="C33" t="s">
        <v>135</v>
      </c>
      <c r="D33" s="1">
        <v>8.8000000000000007</v>
      </c>
    </row>
    <row r="34" spans="1:4" x14ac:dyDescent="0.35">
      <c r="A34" s="36">
        <v>45880</v>
      </c>
      <c r="B34" t="s">
        <v>132</v>
      </c>
      <c r="C34" t="s">
        <v>79</v>
      </c>
      <c r="D34" s="1">
        <v>27.32</v>
      </c>
    </row>
    <row r="35" spans="1:4" x14ac:dyDescent="0.35">
      <c r="A35" s="36">
        <v>45880</v>
      </c>
      <c r="B35" t="s">
        <v>132</v>
      </c>
      <c r="C35" t="s">
        <v>79</v>
      </c>
      <c r="D35" s="1">
        <v>4.2</v>
      </c>
    </row>
    <row r="36" spans="1:4" x14ac:dyDescent="0.35">
      <c r="A36" s="36">
        <v>45881</v>
      </c>
      <c r="B36" t="s">
        <v>137</v>
      </c>
      <c r="C36" t="s">
        <v>138</v>
      </c>
      <c r="D36" s="1">
        <v>21.99</v>
      </c>
    </row>
    <row r="37" spans="1:4" x14ac:dyDescent="0.35">
      <c r="A37" s="36">
        <v>45881</v>
      </c>
      <c r="B37" t="s">
        <v>134</v>
      </c>
      <c r="C37" t="s">
        <v>79</v>
      </c>
      <c r="D37" s="1">
        <v>33.229999999999997</v>
      </c>
    </row>
    <row r="38" spans="1:4" x14ac:dyDescent="0.35">
      <c r="A38" s="36">
        <v>45881</v>
      </c>
      <c r="B38" t="s">
        <v>134</v>
      </c>
      <c r="C38" t="s">
        <v>138</v>
      </c>
      <c r="D38" s="1">
        <v>20</v>
      </c>
    </row>
    <row r="39" spans="1:4" x14ac:dyDescent="0.35">
      <c r="A39" s="36">
        <v>45881</v>
      </c>
      <c r="B39" t="s">
        <v>134</v>
      </c>
      <c r="C39" t="s">
        <v>139</v>
      </c>
      <c r="D39" s="1">
        <v>1.99</v>
      </c>
    </row>
    <row r="40" spans="1:4" x14ac:dyDescent="0.35">
      <c r="A40" s="36">
        <v>45881</v>
      </c>
      <c r="B40" t="s">
        <v>134</v>
      </c>
      <c r="C40" t="s">
        <v>139</v>
      </c>
      <c r="D40" s="1">
        <v>1.81</v>
      </c>
    </row>
    <row r="41" spans="1:4" x14ac:dyDescent="0.35">
      <c r="A41" s="36">
        <v>45881</v>
      </c>
      <c r="B41" t="s">
        <v>134</v>
      </c>
      <c r="C41" t="s">
        <v>139</v>
      </c>
      <c r="D41" s="1">
        <v>1.99</v>
      </c>
    </row>
    <row r="42" spans="1:4" x14ac:dyDescent="0.35">
      <c r="A42" s="36">
        <v>45881</v>
      </c>
      <c r="B42" t="s">
        <v>134</v>
      </c>
      <c r="C42" t="s">
        <v>139</v>
      </c>
      <c r="D42" s="1">
        <v>1.65</v>
      </c>
    </row>
    <row r="43" spans="1:4" x14ac:dyDescent="0.35">
      <c r="A43" s="36">
        <v>45881</v>
      </c>
      <c r="B43" t="s">
        <v>134</v>
      </c>
      <c r="C43" t="s">
        <v>139</v>
      </c>
      <c r="D43" s="1">
        <v>1.99</v>
      </c>
    </row>
    <row r="44" spans="1:4" x14ac:dyDescent="0.35">
      <c r="A44" s="36">
        <v>45881</v>
      </c>
      <c r="B44" t="s">
        <v>132</v>
      </c>
      <c r="C44" t="s">
        <v>138</v>
      </c>
      <c r="D44" s="1">
        <v>22.76</v>
      </c>
    </row>
    <row r="45" spans="1:4" x14ac:dyDescent="0.35">
      <c r="A45" s="36">
        <v>45881</v>
      </c>
      <c r="B45" t="s">
        <v>132</v>
      </c>
      <c r="C45" t="s">
        <v>138</v>
      </c>
      <c r="D45" s="1">
        <v>9.15</v>
      </c>
    </row>
    <row r="46" spans="1:4" x14ac:dyDescent="0.35">
      <c r="A46" s="36">
        <v>45881</v>
      </c>
      <c r="B46" t="s">
        <v>132</v>
      </c>
      <c r="C46" t="s">
        <v>138</v>
      </c>
      <c r="D46" s="1">
        <v>72.989999999999995</v>
      </c>
    </row>
    <row r="47" spans="1:4" x14ac:dyDescent="0.35">
      <c r="A47" s="36">
        <v>45881</v>
      </c>
      <c r="B47" t="s">
        <v>132</v>
      </c>
      <c r="C47" t="s">
        <v>81</v>
      </c>
      <c r="D47" s="1">
        <v>67.92</v>
      </c>
    </row>
    <row r="48" spans="1:4" x14ac:dyDescent="0.35">
      <c r="A48" s="36">
        <v>45882</v>
      </c>
      <c r="B48" t="s">
        <v>134</v>
      </c>
      <c r="C48" t="s">
        <v>139</v>
      </c>
      <c r="D48" s="1">
        <v>1.99</v>
      </c>
    </row>
    <row r="49" spans="1:4" x14ac:dyDescent="0.35">
      <c r="A49" s="36">
        <v>45882</v>
      </c>
      <c r="B49" t="s">
        <v>132</v>
      </c>
      <c r="C49" t="s">
        <v>79</v>
      </c>
      <c r="D49" s="1">
        <v>10.25</v>
      </c>
    </row>
    <row r="50" spans="1:4" x14ac:dyDescent="0.35">
      <c r="A50" s="36">
        <v>45882</v>
      </c>
      <c r="B50" t="s">
        <v>132</v>
      </c>
      <c r="C50" t="s">
        <v>138</v>
      </c>
      <c r="D50" s="1">
        <v>23</v>
      </c>
    </row>
    <row r="51" spans="1:4" x14ac:dyDescent="0.35">
      <c r="A51" s="36">
        <v>45882</v>
      </c>
      <c r="B51" t="s">
        <v>132</v>
      </c>
      <c r="C51" t="s">
        <v>79</v>
      </c>
      <c r="D51" s="1">
        <v>71.819999999999993</v>
      </c>
    </row>
    <row r="52" spans="1:4" x14ac:dyDescent="0.35">
      <c r="A52" s="36">
        <v>45882</v>
      </c>
      <c r="B52" t="s">
        <v>132</v>
      </c>
      <c r="C52" t="s">
        <v>79</v>
      </c>
      <c r="D52" s="1">
        <v>57.31</v>
      </c>
    </row>
    <row r="53" spans="1:4" x14ac:dyDescent="0.35">
      <c r="A53" s="36">
        <v>45882</v>
      </c>
      <c r="B53" t="s">
        <v>132</v>
      </c>
      <c r="C53" t="s">
        <v>133</v>
      </c>
      <c r="D53" s="1">
        <v>50</v>
      </c>
    </row>
    <row r="54" spans="1:4" x14ac:dyDescent="0.35">
      <c r="A54" s="36">
        <v>45883</v>
      </c>
      <c r="B54" t="s">
        <v>137</v>
      </c>
      <c r="C54" t="s">
        <v>138</v>
      </c>
      <c r="D54" s="1">
        <v>5.48</v>
      </c>
    </row>
    <row r="55" spans="1:4" x14ac:dyDescent="0.35">
      <c r="A55" s="36">
        <v>45883</v>
      </c>
      <c r="B55" t="s">
        <v>134</v>
      </c>
      <c r="C55" t="s">
        <v>139</v>
      </c>
      <c r="D55" s="1">
        <v>1.74</v>
      </c>
    </row>
    <row r="56" spans="1:4" x14ac:dyDescent="0.35">
      <c r="A56" s="36">
        <v>45883</v>
      </c>
      <c r="B56" t="s">
        <v>132</v>
      </c>
      <c r="C56" t="s">
        <v>79</v>
      </c>
      <c r="D56" s="1">
        <v>4.2</v>
      </c>
    </row>
    <row r="57" spans="1:4" x14ac:dyDescent="0.35">
      <c r="A57" s="36">
        <v>45884</v>
      </c>
      <c r="B57" t="s">
        <v>134</v>
      </c>
      <c r="C57" t="s">
        <v>135</v>
      </c>
      <c r="D57" s="1">
        <v>55.19</v>
      </c>
    </row>
    <row r="58" spans="1:4" x14ac:dyDescent="0.35">
      <c r="A58" s="36">
        <v>45887</v>
      </c>
      <c r="B58" t="s">
        <v>137</v>
      </c>
      <c r="C58" t="s">
        <v>138</v>
      </c>
      <c r="D58" s="1">
        <v>49.45</v>
      </c>
    </row>
    <row r="59" spans="1:4" x14ac:dyDescent="0.35">
      <c r="A59" s="36">
        <v>45887</v>
      </c>
      <c r="B59" t="s">
        <v>134</v>
      </c>
      <c r="C59" t="s">
        <v>139</v>
      </c>
      <c r="D59" s="1">
        <v>1.81</v>
      </c>
    </row>
    <row r="60" spans="1:4" x14ac:dyDescent="0.35">
      <c r="A60" s="36">
        <v>45887</v>
      </c>
      <c r="B60" t="s">
        <v>132</v>
      </c>
      <c r="C60" t="s">
        <v>79</v>
      </c>
      <c r="D60" s="1">
        <v>5.59</v>
      </c>
    </row>
    <row r="61" spans="1:4" x14ac:dyDescent="0.35">
      <c r="A61" s="36">
        <v>45887</v>
      </c>
      <c r="B61" t="s">
        <v>132</v>
      </c>
      <c r="C61" t="s">
        <v>79</v>
      </c>
      <c r="D61" s="1">
        <v>59</v>
      </c>
    </row>
    <row r="62" spans="1:4" x14ac:dyDescent="0.35">
      <c r="A62" s="36">
        <v>45888</v>
      </c>
      <c r="B62" t="s">
        <v>134</v>
      </c>
      <c r="C62" t="s">
        <v>142</v>
      </c>
      <c r="D62" s="1">
        <v>12.99</v>
      </c>
    </row>
    <row r="63" spans="1:4" x14ac:dyDescent="0.35">
      <c r="A63" s="36">
        <v>45888</v>
      </c>
      <c r="B63" t="s">
        <v>134</v>
      </c>
      <c r="C63" t="s">
        <v>135</v>
      </c>
      <c r="D63" s="1">
        <v>48.89</v>
      </c>
    </row>
    <row r="64" spans="1:4" x14ac:dyDescent="0.35">
      <c r="A64" s="36">
        <v>45888</v>
      </c>
      <c r="B64" t="s">
        <v>132</v>
      </c>
      <c r="C64" t="s">
        <v>138</v>
      </c>
      <c r="D64" s="1">
        <v>21</v>
      </c>
    </row>
    <row r="65" spans="1:4" x14ac:dyDescent="0.35">
      <c r="A65" s="36">
        <v>45888</v>
      </c>
      <c r="B65" t="s">
        <v>132</v>
      </c>
      <c r="C65" t="s">
        <v>79</v>
      </c>
      <c r="D65" s="1">
        <v>1</v>
      </c>
    </row>
    <row r="66" spans="1:4" x14ac:dyDescent="0.35">
      <c r="A66" s="36">
        <v>45888</v>
      </c>
      <c r="B66" t="s">
        <v>132</v>
      </c>
      <c r="C66" t="s">
        <v>81</v>
      </c>
      <c r="D66" s="1">
        <v>71.930000000000007</v>
      </c>
    </row>
    <row r="67" spans="1:4" x14ac:dyDescent="0.35">
      <c r="A67" s="36">
        <v>45889</v>
      </c>
      <c r="B67" t="s">
        <v>137</v>
      </c>
      <c r="C67" t="s">
        <v>138</v>
      </c>
      <c r="D67" s="1">
        <v>23.99</v>
      </c>
    </row>
    <row r="68" spans="1:4" x14ac:dyDescent="0.35">
      <c r="A68" s="36">
        <v>45889</v>
      </c>
      <c r="B68" t="s">
        <v>134</v>
      </c>
      <c r="C68" t="s">
        <v>139</v>
      </c>
      <c r="D68" s="1">
        <v>1.99</v>
      </c>
    </row>
    <row r="69" spans="1:4" x14ac:dyDescent="0.35">
      <c r="A69" s="36">
        <v>45889</v>
      </c>
      <c r="B69" t="s">
        <v>134</v>
      </c>
      <c r="C69" t="s">
        <v>138</v>
      </c>
      <c r="D69" s="1">
        <v>18.75</v>
      </c>
    </row>
    <row r="70" spans="1:4" x14ac:dyDescent="0.35">
      <c r="A70" s="36">
        <v>45889</v>
      </c>
      <c r="B70" t="s">
        <v>134</v>
      </c>
      <c r="C70" t="s">
        <v>139</v>
      </c>
      <c r="D70" s="1">
        <v>1.26</v>
      </c>
    </row>
    <row r="71" spans="1:4" x14ac:dyDescent="0.35">
      <c r="A71" s="36">
        <v>45890</v>
      </c>
      <c r="B71" t="s">
        <v>137</v>
      </c>
      <c r="C71" t="s">
        <v>138</v>
      </c>
      <c r="D71" s="1">
        <v>34.28</v>
      </c>
    </row>
    <row r="72" spans="1:4" x14ac:dyDescent="0.35">
      <c r="A72" s="36">
        <v>45890</v>
      </c>
      <c r="B72" t="s">
        <v>137</v>
      </c>
      <c r="C72" t="s">
        <v>138</v>
      </c>
      <c r="D72" s="1">
        <v>64.87</v>
      </c>
    </row>
    <row r="73" spans="1:4" x14ac:dyDescent="0.35">
      <c r="A73" s="36">
        <v>45890</v>
      </c>
      <c r="B73" t="s">
        <v>134</v>
      </c>
      <c r="C73" t="s">
        <v>139</v>
      </c>
      <c r="D73" s="1">
        <v>1.99</v>
      </c>
    </row>
    <row r="74" spans="1:4" x14ac:dyDescent="0.35">
      <c r="A74" s="36">
        <v>45890</v>
      </c>
      <c r="B74" t="s">
        <v>132</v>
      </c>
      <c r="C74" t="s">
        <v>79</v>
      </c>
      <c r="D74" s="1">
        <v>55.87</v>
      </c>
    </row>
    <row r="75" spans="1:4" x14ac:dyDescent="0.35">
      <c r="A75" s="36">
        <v>45890</v>
      </c>
      <c r="B75" t="s">
        <v>132</v>
      </c>
      <c r="C75" t="s">
        <v>79</v>
      </c>
      <c r="D75" s="1">
        <v>8.3000000000000007</v>
      </c>
    </row>
    <row r="76" spans="1:4" x14ac:dyDescent="0.35">
      <c r="A76" s="36">
        <v>45891</v>
      </c>
      <c r="B76" t="s">
        <v>137</v>
      </c>
      <c r="C76" t="s">
        <v>138</v>
      </c>
      <c r="D76" s="1">
        <v>11.49</v>
      </c>
    </row>
    <row r="77" spans="1:4" x14ac:dyDescent="0.35">
      <c r="A77" s="36">
        <v>45891</v>
      </c>
      <c r="B77" t="s">
        <v>134</v>
      </c>
      <c r="C77" t="s">
        <v>138</v>
      </c>
      <c r="D77" s="1">
        <v>258.95</v>
      </c>
    </row>
    <row r="78" spans="1:4" x14ac:dyDescent="0.35">
      <c r="A78" s="36">
        <v>45891</v>
      </c>
      <c r="B78" t="s">
        <v>134</v>
      </c>
      <c r="C78" t="s">
        <v>139</v>
      </c>
      <c r="D78" s="1">
        <v>1.99</v>
      </c>
    </row>
    <row r="79" spans="1:4" x14ac:dyDescent="0.35">
      <c r="A79" s="36">
        <v>45894</v>
      </c>
      <c r="B79" t="s">
        <v>137</v>
      </c>
      <c r="C79" t="s">
        <v>138</v>
      </c>
      <c r="D79" s="1">
        <v>28.99</v>
      </c>
    </row>
    <row r="80" spans="1:4" x14ac:dyDescent="0.35">
      <c r="A80" s="36">
        <v>45894</v>
      </c>
      <c r="B80" t="s">
        <v>132</v>
      </c>
      <c r="C80" t="s">
        <v>79</v>
      </c>
      <c r="D80" s="1">
        <v>46.35</v>
      </c>
    </row>
    <row r="81" spans="1:4" x14ac:dyDescent="0.35">
      <c r="A81" s="36">
        <v>45894</v>
      </c>
      <c r="B81" t="s">
        <v>132</v>
      </c>
      <c r="C81" t="s">
        <v>79</v>
      </c>
      <c r="D81" s="1">
        <v>63.9</v>
      </c>
    </row>
    <row r="82" spans="1:4" x14ac:dyDescent="0.35">
      <c r="A82" s="36">
        <v>45894</v>
      </c>
      <c r="B82" t="s">
        <v>132</v>
      </c>
      <c r="C82" t="s">
        <v>79</v>
      </c>
      <c r="D82" s="1">
        <v>22.49</v>
      </c>
    </row>
    <row r="83" spans="1:4" x14ac:dyDescent="0.35">
      <c r="A83" s="36">
        <v>45894</v>
      </c>
      <c r="B83" t="s">
        <v>132</v>
      </c>
      <c r="C83" t="s">
        <v>79</v>
      </c>
      <c r="D83" s="1">
        <v>5.99</v>
      </c>
    </row>
    <row r="84" spans="1:4" x14ac:dyDescent="0.35">
      <c r="A84" s="36">
        <v>45895</v>
      </c>
      <c r="B84" t="s">
        <v>134</v>
      </c>
      <c r="C84" t="s">
        <v>135</v>
      </c>
      <c r="D84" s="1">
        <v>37.61</v>
      </c>
    </row>
    <row r="85" spans="1:4" x14ac:dyDescent="0.35">
      <c r="A85" s="36">
        <v>45895</v>
      </c>
      <c r="B85" t="s">
        <v>132</v>
      </c>
      <c r="C85" t="s">
        <v>79</v>
      </c>
      <c r="D85" s="1">
        <v>10.68</v>
      </c>
    </row>
    <row r="86" spans="1:4" x14ac:dyDescent="0.35">
      <c r="A86" s="36">
        <v>45895</v>
      </c>
      <c r="B86" t="s">
        <v>134</v>
      </c>
      <c r="C86" t="s">
        <v>139</v>
      </c>
      <c r="D86" s="1">
        <v>4.99</v>
      </c>
    </row>
    <row r="87" spans="1:4" x14ac:dyDescent="0.35">
      <c r="A87" s="36">
        <v>45895</v>
      </c>
      <c r="B87" t="s">
        <v>132</v>
      </c>
      <c r="C87" t="s">
        <v>81</v>
      </c>
      <c r="D87" s="1">
        <v>71.77</v>
      </c>
    </row>
    <row r="88" spans="1:4" x14ac:dyDescent="0.35">
      <c r="A88" s="36">
        <v>45895</v>
      </c>
      <c r="B88" t="s">
        <v>132</v>
      </c>
      <c r="C88" t="s">
        <v>79</v>
      </c>
      <c r="D88" s="1">
        <v>3.35</v>
      </c>
    </row>
    <row r="89" spans="1:4" x14ac:dyDescent="0.35">
      <c r="A89" s="36">
        <v>45895</v>
      </c>
      <c r="B89" t="s">
        <v>132</v>
      </c>
      <c r="C89" t="s">
        <v>135</v>
      </c>
      <c r="D89" s="1">
        <v>9.5</v>
      </c>
    </row>
    <row r="90" spans="1:4" x14ac:dyDescent="0.35">
      <c r="A90" s="36">
        <v>45836</v>
      </c>
      <c r="B90" t="s">
        <v>132</v>
      </c>
      <c r="C90" t="s">
        <v>79</v>
      </c>
      <c r="D90" s="1">
        <v>6.35</v>
      </c>
    </row>
    <row r="91" spans="1:4" x14ac:dyDescent="0.35">
      <c r="A91" s="36">
        <v>45836</v>
      </c>
      <c r="B91" t="s">
        <v>132</v>
      </c>
      <c r="C91" t="s">
        <v>79</v>
      </c>
      <c r="D91" s="1">
        <v>77.680000000000007</v>
      </c>
    </row>
    <row r="92" spans="1:4" x14ac:dyDescent="0.35">
      <c r="A92" s="36">
        <v>45836</v>
      </c>
      <c r="B92" t="s">
        <v>132</v>
      </c>
      <c r="C92" t="s">
        <v>79</v>
      </c>
      <c r="D92" s="1">
        <v>6.8</v>
      </c>
    </row>
    <row r="93" spans="1:4" x14ac:dyDescent="0.35">
      <c r="A93" s="36">
        <v>45898</v>
      </c>
      <c r="B93" t="s">
        <v>134</v>
      </c>
      <c r="C93" t="s">
        <v>79</v>
      </c>
      <c r="D93" s="1">
        <v>20.27</v>
      </c>
    </row>
    <row r="94" spans="1:4" x14ac:dyDescent="0.35">
      <c r="A94" s="36">
        <v>45898</v>
      </c>
      <c r="B94" t="s">
        <v>137</v>
      </c>
      <c r="C94" t="s">
        <v>138</v>
      </c>
      <c r="D94" s="1">
        <v>40.200000000000003</v>
      </c>
    </row>
    <row r="95" spans="1:4" x14ac:dyDescent="0.35">
      <c r="A95" s="36">
        <v>45898</v>
      </c>
      <c r="B95" t="s">
        <v>132</v>
      </c>
      <c r="C95" t="s">
        <v>79</v>
      </c>
      <c r="D95" s="1">
        <v>1.79</v>
      </c>
    </row>
    <row r="97" spans="4:4" x14ac:dyDescent="0.35">
      <c r="D97" s="1"/>
    </row>
  </sheetData>
  <mergeCells count="1">
    <mergeCell ref="G1:H1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42"/>
  <sheetViews>
    <sheetView workbookViewId="0">
      <selection activeCell="E28" sqref="E28"/>
    </sheetView>
  </sheetViews>
  <sheetFormatPr defaultColWidth="8.81640625" defaultRowHeight="14.5" x14ac:dyDescent="0.35"/>
  <cols>
    <col min="5" max="5" width="15.81640625" bestFit="1" customWidth="1"/>
    <col min="6" max="6" width="9.453125" bestFit="1" customWidth="1"/>
  </cols>
  <sheetData>
    <row r="2" spans="1:15" x14ac:dyDescent="0.35">
      <c r="A2" s="1"/>
      <c r="B2" t="s">
        <v>132</v>
      </c>
      <c r="C2" t="s">
        <v>79</v>
      </c>
      <c r="D2" s="1">
        <v>70.010000000000005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5">
      <c r="A3" s="1"/>
      <c r="B3" t="s">
        <v>132</v>
      </c>
      <c r="C3" t="s">
        <v>79</v>
      </c>
      <c r="D3" s="1">
        <v>2.95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5">
      <c r="A4" s="1"/>
      <c r="B4" t="s">
        <v>132</v>
      </c>
      <c r="C4" t="s">
        <v>79</v>
      </c>
      <c r="D4" s="1">
        <v>35.57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5">
      <c r="A32" s="1"/>
      <c r="B32" s="1"/>
      <c r="C32" s="1"/>
      <c r="D32" s="1"/>
      <c r="E32" s="1"/>
    </row>
    <row r="33" spans="1:5" x14ac:dyDescent="0.35">
      <c r="A33" s="1"/>
      <c r="B33" s="1"/>
      <c r="C33" s="1"/>
      <c r="D33" s="1"/>
      <c r="E33" s="1"/>
    </row>
    <row r="34" spans="1:5" x14ac:dyDescent="0.35">
      <c r="A34" s="1"/>
      <c r="B34" s="1"/>
      <c r="C34" s="1"/>
      <c r="D34" s="1"/>
      <c r="E34" s="1"/>
    </row>
    <row r="35" spans="1:5" x14ac:dyDescent="0.35">
      <c r="A35" s="1"/>
      <c r="B35" s="1"/>
      <c r="C35" s="1"/>
      <c r="D35" s="1"/>
      <c r="E35" s="1"/>
    </row>
    <row r="36" spans="1:5" x14ac:dyDescent="0.35">
      <c r="A36" s="1"/>
      <c r="B36" s="1"/>
      <c r="C36" s="1"/>
      <c r="D36" s="1"/>
      <c r="E36" s="1"/>
    </row>
    <row r="37" spans="1:5" x14ac:dyDescent="0.35">
      <c r="A37" s="1"/>
      <c r="B37" s="1"/>
      <c r="C37" s="1"/>
      <c r="D37" s="1"/>
      <c r="E37" s="1"/>
    </row>
    <row r="38" spans="1:5" x14ac:dyDescent="0.35">
      <c r="A38" s="1"/>
      <c r="B38" s="1"/>
      <c r="C38" s="1"/>
      <c r="D38" s="1"/>
      <c r="E38" s="1"/>
    </row>
    <row r="39" spans="1:5" x14ac:dyDescent="0.35">
      <c r="A39" s="1"/>
      <c r="B39" s="1"/>
      <c r="C39" s="1"/>
      <c r="D39" s="1"/>
      <c r="E39" s="1"/>
    </row>
    <row r="40" spans="1:5" x14ac:dyDescent="0.35">
      <c r="A40" s="1"/>
      <c r="B40" s="1"/>
      <c r="C40" s="1"/>
      <c r="D40" s="1"/>
      <c r="E40" s="1"/>
    </row>
    <row r="41" spans="1:5" x14ac:dyDescent="0.35">
      <c r="A41" s="1"/>
      <c r="B41" s="1"/>
      <c r="C41" s="1"/>
      <c r="D41" s="1"/>
      <c r="E41" s="1"/>
    </row>
    <row r="42" spans="1:5" x14ac:dyDescent="0.35">
      <c r="A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Fixkosten</vt:lpstr>
      <vt:lpstr>Juli 25</vt:lpstr>
      <vt:lpstr>August 25</vt:lpstr>
      <vt:lpstr>Sep 25</vt:lpstr>
    </vt:vector>
  </TitlesOfParts>
  <Manager/>
  <Company>The Boston Consulting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Schick Mona</dc:creator>
  <cp:keywords/>
  <dc:description/>
  <cp:lastModifiedBy>Christopher Schick</cp:lastModifiedBy>
  <cp:revision/>
  <dcterms:created xsi:type="dcterms:W3CDTF">2019-01-25T08:27:05Z</dcterms:created>
  <dcterms:modified xsi:type="dcterms:W3CDTF">2026-05-10T14:45:49Z</dcterms:modified>
  <cp:category/>
  <cp:contentStatus/>
</cp:coreProperties>
</file>